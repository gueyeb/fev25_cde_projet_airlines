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kponachristian/IdeaProjects/fev25_cde_projet_airlines/documentation/"/>
    </mc:Choice>
  </mc:AlternateContent>
  <xr:revisionPtr revIDLastSave="0" documentId="13_ncr:1_{2B4187F4-814B-3F4C-B4A0-A309AFF47E7C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Intro and contact details" sheetId="1" r:id="rId1"/>
    <sheet name="Global International Routes" sheetId="2" r:id="rId2"/>
    <sheet name=" International Routes by Region" sheetId="3" r:id="rId3"/>
    <sheet name="Feuil1" sheetId="6" r:id="rId4"/>
    <sheet name="Global Domestic Routes" sheetId="4" r:id="rId5"/>
    <sheet name="Domestic Routes by Regio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F78" i="6" s="1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B7" i="6"/>
  <c r="A7" i="6"/>
  <c r="F108" i="6" l="1"/>
  <c r="F98" i="6"/>
  <c r="F88" i="6"/>
  <c r="F68" i="6"/>
  <c r="F58" i="6"/>
  <c r="F48" i="6"/>
  <c r="F38" i="6"/>
  <c r="F28" i="6"/>
  <c r="F18" i="6"/>
  <c r="F8" i="6"/>
  <c r="F107" i="6"/>
  <c r="F97" i="6"/>
  <c r="F87" i="6"/>
  <c r="F77" i="6"/>
  <c r="F67" i="6"/>
  <c r="F37" i="6"/>
  <c r="F27" i="6"/>
  <c r="F57" i="6"/>
  <c r="F47" i="6"/>
  <c r="F17" i="6"/>
  <c r="F16" i="6"/>
  <c r="F116" i="6"/>
  <c r="F106" i="6"/>
  <c r="F96" i="6"/>
  <c r="F86" i="6"/>
  <c r="F76" i="6"/>
  <c r="F66" i="6"/>
  <c r="F56" i="6"/>
  <c r="F46" i="6"/>
  <c r="F36" i="6"/>
  <c r="F12" i="6"/>
  <c r="F102" i="6"/>
  <c r="F72" i="6"/>
  <c r="F32" i="6"/>
  <c r="F112" i="6"/>
  <c r="F92" i="6"/>
  <c r="F62" i="6"/>
  <c r="F52" i="6"/>
  <c r="F22" i="6"/>
  <c r="F90" i="6"/>
  <c r="F82" i="6"/>
  <c r="F42" i="6"/>
  <c r="F110" i="6"/>
  <c r="F100" i="6"/>
  <c r="F80" i="6"/>
  <c r="F70" i="6"/>
  <c r="F60" i="6"/>
  <c r="F50" i="6"/>
  <c r="F40" i="6"/>
  <c r="F30" i="6"/>
  <c r="F20" i="6"/>
  <c r="F10" i="6"/>
  <c r="F26" i="6"/>
  <c r="F113" i="6"/>
  <c r="F103" i="6"/>
  <c r="F93" i="6"/>
  <c r="F83" i="6"/>
  <c r="F73" i="6"/>
  <c r="F63" i="6"/>
  <c r="F53" i="6"/>
  <c r="F43" i="6"/>
  <c r="F33" i="6"/>
  <c r="F23" i="6"/>
  <c r="F13" i="6"/>
  <c r="F9" i="6"/>
  <c r="F95" i="6"/>
  <c r="F75" i="6"/>
  <c r="F55" i="6"/>
  <c r="F15" i="6"/>
  <c r="F85" i="6"/>
  <c r="F65" i="6"/>
  <c r="F114" i="6"/>
  <c r="F104" i="6"/>
  <c r="F94" i="6"/>
  <c r="F84" i="6"/>
  <c r="F74" i="6"/>
  <c r="F64" i="6"/>
  <c r="F54" i="6"/>
  <c r="F44" i="6"/>
  <c r="F34" i="6"/>
  <c r="F24" i="6"/>
  <c r="F14" i="6"/>
  <c r="F35" i="6"/>
  <c r="F115" i="6"/>
  <c r="F45" i="6"/>
  <c r="F111" i="6"/>
  <c r="F101" i="6"/>
  <c r="F91" i="6"/>
  <c r="F81" i="6"/>
  <c r="F71" i="6"/>
  <c r="F61" i="6"/>
  <c r="F51" i="6"/>
  <c r="F41" i="6"/>
  <c r="F31" i="6"/>
  <c r="F21" i="6"/>
  <c r="F11" i="6"/>
  <c r="F105" i="6"/>
  <c r="F25" i="6"/>
  <c r="F109" i="6"/>
  <c r="F99" i="6"/>
  <c r="F89" i="6"/>
  <c r="F79" i="6"/>
  <c r="F69" i="6"/>
  <c r="F59" i="6"/>
  <c r="F49" i="6"/>
  <c r="F39" i="6"/>
  <c r="F29" i="6"/>
  <c r="F19" i="6"/>
  <c r="F7" i="6"/>
</calcChain>
</file>

<file path=xl/sharedStrings.xml><?xml version="1.0" encoding="utf-8"?>
<sst xmlns="http://schemas.openxmlformats.org/spreadsheetml/2006/main" count="700" uniqueCount="255">
  <si>
    <t>Thanks for downloading Busiest Routes 2024, please use the tabs to view each chart.</t>
  </si>
  <si>
    <t>If you need any further information please email pressoffice@oag.com</t>
  </si>
  <si>
    <r>
      <rPr>
        <b/>
        <sz val="10"/>
        <rFont val="Arial"/>
        <family val="2"/>
      </rPr>
      <t xml:space="preserve">If you would like to use any of the charts in publications, please reference the source as </t>
    </r>
    <r>
      <rPr>
        <b/>
        <u/>
        <sz val="10"/>
        <color rgb="FF1155CC"/>
        <rFont val="Arial"/>
        <family val="2"/>
      </rPr>
      <t>OAG.com</t>
    </r>
  </si>
  <si>
    <t>Ranking methodology can be found here</t>
  </si>
  <si>
    <r>
      <rPr>
        <b/>
        <sz val="10"/>
        <rFont val="Arial"/>
        <family val="2"/>
      </rPr>
      <t xml:space="preserve">If you would like to speak to one of our specialists or request a free trial of our data you can do that </t>
    </r>
    <r>
      <rPr>
        <b/>
        <u/>
        <sz val="10"/>
        <color rgb="FF1155CC"/>
        <rFont val="Arial"/>
        <family val="2"/>
      </rPr>
      <t xml:space="preserve">here </t>
    </r>
  </si>
  <si>
    <t>Thank you,</t>
  </si>
  <si>
    <t>OAG Marketing</t>
  </si>
  <si>
    <t xml:space="preserve">marketing@oag.com </t>
  </si>
  <si>
    <t>Global Top 10 International Routes</t>
  </si>
  <si>
    <t>Year 2024</t>
  </si>
  <si>
    <t>Variance 2023 to</t>
  </si>
  <si>
    <t>Rank</t>
  </si>
  <si>
    <t>Route</t>
  </si>
  <si>
    <t>Seats</t>
  </si>
  <si>
    <t>Rank in 2019</t>
  </si>
  <si>
    <t>Rank in 2023</t>
  </si>
  <si>
    <t>HKG-TPE</t>
  </si>
  <si>
    <t>Hong Kong - Taipei</t>
  </si>
  <si>
    <t>CAI-JED</t>
  </si>
  <si>
    <t>Cairo - Jeddah</t>
  </si>
  <si>
    <t>ICN-NRT</t>
  </si>
  <si>
    <t>Seoul Incheon - Tokyo Narita</t>
  </si>
  <si>
    <t>KUL-SIN</t>
  </si>
  <si>
    <t>Kuala Lumpur - Singapore Changi</t>
  </si>
  <si>
    <t>ICN-KIX</t>
  </si>
  <si>
    <t>Seoul Incheon - Osaka Kansai</t>
  </si>
  <si>
    <t>Try our data</t>
  </si>
  <si>
    <t>DXB-RUH</t>
  </si>
  <si>
    <t>Dubai  - Riyadh</t>
  </si>
  <si>
    <t>BKK-HKG</t>
  </si>
  <si>
    <t>Bangkok - Hong Kong</t>
  </si>
  <si>
    <t>CGK-SIN</t>
  </si>
  <si>
    <t>Jakarta - Singapore Changi</t>
  </si>
  <si>
    <t>BKK-SIN</t>
  </si>
  <si>
    <t>Bangkok - Singapore Changi</t>
  </si>
  <si>
    <t>JFK-LHR</t>
  </si>
  <si>
    <t>New York JFK - London Heathrow</t>
  </si>
  <si>
    <t>Top 10 Africa International Routes</t>
  </si>
  <si>
    <t>Route Name</t>
  </si>
  <si>
    <t>CAI-RUH</t>
  </si>
  <si>
    <t>Cairo - Riyadh</t>
  </si>
  <si>
    <t>CAI-DXB</t>
  </si>
  <si>
    <t>Cairo - Dubai</t>
  </si>
  <si>
    <t>CAI-MED</t>
  </si>
  <si>
    <t>Cairo - Madinah</t>
  </si>
  <si>
    <t>CAI-KWI</t>
  </si>
  <si>
    <t>Cairo - Kuwait</t>
  </si>
  <si>
    <t>ALG-CDG</t>
  </si>
  <si>
    <t>Algiers - Paris CDG</t>
  </si>
  <si>
    <t>ADD-DXB</t>
  </si>
  <si>
    <t>Addis Ababa - Dubai</t>
  </si>
  <si>
    <t>ORY-RUN</t>
  </si>
  <si>
    <t>Paris Orly - St Denis</t>
  </si>
  <si>
    <t>CAI-DOH</t>
  </si>
  <si>
    <t>Cairo - Doha</t>
  </si>
  <si>
    <t>ALG-ORY</t>
  </si>
  <si>
    <t>Algiers - Paris Orly</t>
  </si>
  <si>
    <t>Top 10 Asia Pacific International Routes</t>
  </si>
  <si>
    <t>NRT-TPE</t>
  </si>
  <si>
    <t>Tokyo Narita  - Taipei</t>
  </si>
  <si>
    <t>FUK-ICN</t>
  </si>
  <si>
    <t>Fukuoka - Seoul Incheon</t>
  </si>
  <si>
    <t>CGK-KUL</t>
  </si>
  <si>
    <t>Jakarta - Kuala Lumpur</t>
  </si>
  <si>
    <t>Top 10 Europe International Routes</t>
  </si>
  <si>
    <t>DXB-LHR</t>
  </si>
  <si>
    <t>Dubai  - London Heathrow</t>
  </si>
  <si>
    <t>FCO-MAD</t>
  </si>
  <si>
    <t>Rome Fiumicino - Madrid</t>
  </si>
  <si>
    <t>DUB-LHR</t>
  </si>
  <si>
    <t>Dublin - London Heathrow</t>
  </si>
  <si>
    <t>LIS-MAD</t>
  </si>
  <si>
    <t>Lisbon - Madrid</t>
  </si>
  <si>
    <t>DOH-LHR</t>
  </si>
  <si>
    <t>Doha - London Heathrow</t>
  </si>
  <si>
    <t>LAX-LHR</t>
  </si>
  <si>
    <t>Los Angeles - London Heathrow</t>
  </si>
  <si>
    <t>CDG-JFK</t>
  </si>
  <si>
    <t>Paris CDG - New York JFK</t>
  </si>
  <si>
    <t>DXB-IST</t>
  </si>
  <si>
    <t>Dubai  - Istanbul Ataturk</t>
  </si>
  <si>
    <t>FRA-LHR</t>
  </si>
  <si>
    <t>Frankfurt - London Heathrow</t>
  </si>
  <si>
    <t>Top 10 Latin America International Routes</t>
  </si>
  <si>
    <t>MCO-SJU</t>
  </si>
  <si>
    <t>Orlando - San Juan</t>
  </si>
  <si>
    <t>LIM-SCL</t>
  </si>
  <si>
    <t>Lima - Santiago</t>
  </si>
  <si>
    <t>BOG-MAD</t>
  </si>
  <si>
    <t>Bogota - Madrid</t>
  </si>
  <si>
    <t>GRU-SCL</t>
  </si>
  <si>
    <t>Sao Paulo Guarulhos - Santiago</t>
  </si>
  <si>
    <t>JFK-SJU</t>
  </si>
  <si>
    <t>New York JFK - San Juan</t>
  </si>
  <si>
    <t>CUN-DFW</t>
  </si>
  <si>
    <t>Cancun  - Dallas/Fort Worth</t>
  </si>
  <si>
    <t>BOG-PTY</t>
  </si>
  <si>
    <t>Bogota - Panama City</t>
  </si>
  <si>
    <t>CUN-YYZ</t>
  </si>
  <si>
    <t>Cancun  - Toronto</t>
  </si>
  <si>
    <t>AEP-GRU</t>
  </si>
  <si>
    <t>Buenos Aires Aeroparque - Sao Paulo Guarulhos</t>
  </si>
  <si>
    <t>GDL-LAX</t>
  </si>
  <si>
    <t>Guadalajara - Los Angeles</t>
  </si>
  <si>
    <t>Top 10 Middle East International Routes</t>
  </si>
  <si>
    <t>DXB-JED</t>
  </si>
  <si>
    <t>Dubai  - Jeddah</t>
  </si>
  <si>
    <t>BOM-DXB</t>
  </si>
  <si>
    <t>Mumbai - Dubai</t>
  </si>
  <si>
    <t>DXB-KWI</t>
  </si>
  <si>
    <t>Dubai  - Kuwait</t>
  </si>
  <si>
    <t>DEL-DXB</t>
  </si>
  <si>
    <t>Delhi - Dubai</t>
  </si>
  <si>
    <t>BAH-DXB</t>
  </si>
  <si>
    <t>Bahrain - Dubai</t>
  </si>
  <si>
    <t>Top 10 North America International Routes</t>
  </si>
  <si>
    <t>SFO-TPE</t>
  </si>
  <si>
    <t>San Francisco  - Taipei</t>
  </si>
  <si>
    <t>CDG-YUL</t>
  </si>
  <si>
    <t>Paris CDG - Montreal</t>
  </si>
  <si>
    <t>ICN-LAX</t>
  </si>
  <si>
    <t>Seoul Incheon - Los Angeles</t>
  </si>
  <si>
    <t>LHR-ORD</t>
  </si>
  <si>
    <t>London Heathrow - Chicago O'Hare</t>
  </si>
  <si>
    <t>Global Top 10 Domestic Routes</t>
  </si>
  <si>
    <t>CJU-GMP</t>
  </si>
  <si>
    <t>Jeju International - Seoul Gimpo</t>
  </si>
  <si>
    <t>CTS-HND</t>
  </si>
  <si>
    <t>Sapporo New Chitose - Tokyo Haneda</t>
  </si>
  <si>
    <t>FUK-HND</t>
  </si>
  <si>
    <t>Fukuoka - Tokyo Haneda</t>
  </si>
  <si>
    <t>HAN-SGN</t>
  </si>
  <si>
    <t>Hanoi - Ho Chi Minh City</t>
  </si>
  <si>
    <t>MEL-SYD</t>
  </si>
  <si>
    <t>Melbourne - Sydney</t>
  </si>
  <si>
    <t>JED-RUH</t>
  </si>
  <si>
    <t>Jeddah - Riyadh</t>
  </si>
  <si>
    <t>HND-OKA</t>
  </si>
  <si>
    <t>Tokyo Haneda - Okinawa Naha</t>
  </si>
  <si>
    <t>BOM-DEL</t>
  </si>
  <si>
    <t>Mumbai - Delhi</t>
  </si>
  <si>
    <t>PEK-SHA</t>
  </si>
  <si>
    <t>Beijing - Shanghai Hongqiao</t>
  </si>
  <si>
    <t>CAN-SHA</t>
  </si>
  <si>
    <t>Guangzhou Baiyun - Shanghai Hongqiao</t>
  </si>
  <si>
    <t>Top 10 Africa Domestic Routes</t>
  </si>
  <si>
    <t>CPT-JNB</t>
  </si>
  <si>
    <t>Cape Town - Johannesburg</t>
  </si>
  <si>
    <t>DUR-JNB</t>
  </si>
  <si>
    <t>Durban - Johannesburg</t>
  </si>
  <si>
    <t>ABV-LOS</t>
  </si>
  <si>
    <t>Abuja - Lagos</t>
  </si>
  <si>
    <t>CPT-DUR</t>
  </si>
  <si>
    <t>Cape Town - Durban</t>
  </si>
  <si>
    <t>JNB-PLZ</t>
  </si>
  <si>
    <t>Johannesburg - Port Elizabeth</t>
  </si>
  <si>
    <t>MBA-NBO</t>
  </si>
  <si>
    <t>Mombasa - Nairobi</t>
  </si>
  <si>
    <t>DAR-ZNZ</t>
  </si>
  <si>
    <t>Dar Es Salaam - Zanzibar</t>
  </si>
  <si>
    <t>CAI-LXR</t>
  </si>
  <si>
    <t>Cairo - Luxor</t>
  </si>
  <si>
    <t>CPT-HLA</t>
  </si>
  <si>
    <t>Cape Town - Johannesburg Lanseria International Apt</t>
  </si>
  <si>
    <t>ASW-CAI</t>
  </si>
  <si>
    <t>Aswan - Cairo</t>
  </si>
  <si>
    <t>Top 10 Asia Pacific Domestic Routes</t>
  </si>
  <si>
    <t>SHA-SZX</t>
  </si>
  <si>
    <t>Shanghai Hongqiao - Shenzhen</t>
  </si>
  <si>
    <t>CGK-UPG</t>
  </si>
  <si>
    <t>Jakarta - Makassar</t>
  </si>
  <si>
    <t>Top 10 Europe Domestic Routes</t>
  </si>
  <si>
    <t>BCN-PMI</t>
  </si>
  <si>
    <t>Barcelona  - Palma</t>
  </si>
  <si>
    <t>AYT-SAW</t>
  </si>
  <si>
    <t>Antalya - Istanbul Sabiha Gokcen</t>
  </si>
  <si>
    <t>MAD-PMI</t>
  </si>
  <si>
    <t>Madrid - Palma</t>
  </si>
  <si>
    <t>OSL-TRD</t>
  </si>
  <si>
    <t>Oslo - Trondheim</t>
  </si>
  <si>
    <t>CTA-FCO</t>
  </si>
  <si>
    <t>Catania - Rome Fiumicino</t>
  </si>
  <si>
    <t>BCN-MAD</t>
  </si>
  <si>
    <t>Barcelona  - Madrid</t>
  </si>
  <si>
    <t>LPA-MAD</t>
  </si>
  <si>
    <t>Gran Canaria - Madrid</t>
  </si>
  <si>
    <t>BGO-OSL</t>
  </si>
  <si>
    <t>Bergen - Oslo</t>
  </si>
  <si>
    <t>FCO-PMO</t>
  </si>
  <si>
    <t>Rome Fiumicino - Palermo</t>
  </si>
  <si>
    <t>MAD-TFN</t>
  </si>
  <si>
    <t>Madrid - Tenerife North</t>
  </si>
  <si>
    <t>Top 10 Latin America Domestic Routes</t>
  </si>
  <si>
    <t>BOG-MDE</t>
  </si>
  <si>
    <t>Bogota - Medellin</t>
  </si>
  <si>
    <t>CGH-SDU</t>
  </si>
  <si>
    <t>São Paulo-Congonhas - Rio de Janeiro Santos Dumont</t>
  </si>
  <si>
    <t>BOG-CTG</t>
  </si>
  <si>
    <t>Bogota - Cartagena</t>
  </si>
  <si>
    <t>BOG-CLO</t>
  </si>
  <si>
    <t>Bogota - Cali</t>
  </si>
  <si>
    <t>CUZ-LIM</t>
  </si>
  <si>
    <t>Cuzco - Lima</t>
  </si>
  <si>
    <t>CUN-MEX</t>
  </si>
  <si>
    <t>Cancun  - Mexico City</t>
  </si>
  <si>
    <t>MEX-MTY</t>
  </si>
  <si>
    <t>Mexico City  - Monterrey</t>
  </si>
  <si>
    <t>GDL-MEX</t>
  </si>
  <si>
    <t>Guadalajara - Mexico City</t>
  </si>
  <si>
    <t>BSB-CGH</t>
  </si>
  <si>
    <t>Brasilia - São Paulo-Congonhas</t>
  </si>
  <si>
    <t>BOG-SMR</t>
  </si>
  <si>
    <t>Bogota - Santa Marta</t>
  </si>
  <si>
    <t>Top 10 Middle East Domestic Routes</t>
  </si>
  <si>
    <t>DMM-JED</t>
  </si>
  <si>
    <t>Dammam - Jeddah</t>
  </si>
  <si>
    <t>AHB-RUH</t>
  </si>
  <si>
    <t>Abha - Riyadh</t>
  </si>
  <si>
    <t>DMM-RUH</t>
  </si>
  <si>
    <t>Dammam - Riyadh</t>
  </si>
  <si>
    <t>MHD-THR</t>
  </si>
  <si>
    <t>Mashhad - Tehran Mehrabad International Airport</t>
  </si>
  <si>
    <t>MED-RUH</t>
  </si>
  <si>
    <t>Madinah - Riyadh</t>
  </si>
  <si>
    <t>AHB-JED</t>
  </si>
  <si>
    <t>Abha - Jeddah</t>
  </si>
  <si>
    <t>GIZ-RUH</t>
  </si>
  <si>
    <t>Jazan - Riyadh</t>
  </si>
  <si>
    <t>AWZ-THR</t>
  </si>
  <si>
    <t>Ahwaz - Tehran Mehrabad International Airport</t>
  </si>
  <si>
    <t>RUH-TUU</t>
  </si>
  <si>
    <t>Riyadh - Tabuk</t>
  </si>
  <si>
    <t>Top 10 North America Domestic Routes</t>
  </si>
  <si>
    <t>YVR-YYZ</t>
  </si>
  <si>
    <t>Vancouver - Toronto</t>
  </si>
  <si>
    <t>ATL-MCO</t>
  </si>
  <si>
    <t>Atlanta - Orlando</t>
  </si>
  <si>
    <t>HNL-OGG</t>
  </si>
  <si>
    <t>Honolulu - Kahului</t>
  </si>
  <si>
    <t>LAS-LAX</t>
  </si>
  <si>
    <t>Las Vegas - Los Angeles</t>
  </si>
  <si>
    <t>DEN-PHX</t>
  </si>
  <si>
    <t>Denver - Phoenix</t>
  </si>
  <si>
    <t>LAX-SFO</t>
  </si>
  <si>
    <t>Los Angeles - San Francisco</t>
  </si>
  <si>
    <t>JFK-LAX</t>
  </si>
  <si>
    <t>New York JFK - Los Angeles</t>
  </si>
  <si>
    <t>LGA-ORD</t>
  </si>
  <si>
    <t>New York La Guardia  - Chicago O'Hare</t>
  </si>
  <si>
    <t>ATL-FLL</t>
  </si>
  <si>
    <t>Atlanta - Fort Lauderdale</t>
  </si>
  <si>
    <t>YVR-YYC</t>
  </si>
  <si>
    <t>Vancouver - Calgary</t>
  </si>
  <si>
    <t>GIR</t>
  </si>
  <si>
    <t>GDR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</si>
</sst>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3" fontId="7" fillId="0" borderId="0" xfId="0" applyNumberFormat="1" applyFont="1"/>
    <xf numFmtId="9" fontId="7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10" fillId="0" borderId="0" xfId="0" applyFont="1"/>
    <xf numFmtId="0" fontId="3" fillId="0" borderId="0" xfId="0" applyFont="1"/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457200</xdr:colOff>
      <xdr:row>0</xdr:row>
      <xdr:rowOff>114300</xdr:rowOff>
    </xdr:from>
    <xdr:ext cx="1905000" cy="10668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1</xdr:row>
      <xdr:rowOff>114300</xdr:rowOff>
    </xdr:from>
    <xdr:ext cx="1905000" cy="10668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1</xdr:row>
      <xdr:rowOff>57150</xdr:rowOff>
    </xdr:from>
    <xdr:ext cx="1905000" cy="10668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1</xdr:row>
      <xdr:rowOff>114300</xdr:rowOff>
    </xdr:from>
    <xdr:ext cx="1905000" cy="10668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266700</xdr:colOff>
      <xdr:row>1</xdr:row>
      <xdr:rowOff>114300</xdr:rowOff>
    </xdr:from>
    <xdr:ext cx="1905000" cy="10668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ag.com/try-oag" TargetMode="External"/><Relationship Id="rId2" Type="http://schemas.openxmlformats.org/officeDocument/2006/relationships/hyperlink" Target="https://www.oag.com/busiest-routes-world-2024" TargetMode="External"/><Relationship Id="rId1" Type="http://schemas.openxmlformats.org/officeDocument/2006/relationships/hyperlink" Target="http://oag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oag.com/try-oa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oag.com/try-o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oag.com/try-oa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oag.com/try-o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15"/>
  <sheetViews>
    <sheetView workbookViewId="0">
      <selection activeCell="G26" sqref="G26"/>
    </sheetView>
  </sheetViews>
  <sheetFormatPr baseColWidth="10" defaultColWidth="12.6640625" defaultRowHeight="15.75" customHeight="1" x14ac:dyDescent="0.15"/>
  <sheetData>
    <row r="2" spans="1:1" ht="15.75" customHeight="1" x14ac:dyDescent="0.15">
      <c r="A2" s="1" t="s">
        <v>0</v>
      </c>
    </row>
    <row r="3" spans="1:1" ht="15.75" customHeight="1" x14ac:dyDescent="0.15">
      <c r="A3" s="1"/>
    </row>
    <row r="4" spans="1:1" ht="15.75" customHeight="1" x14ac:dyDescent="0.15">
      <c r="A4" s="1" t="s">
        <v>1</v>
      </c>
    </row>
    <row r="5" spans="1:1" ht="15.75" customHeight="1" x14ac:dyDescent="0.15">
      <c r="A5" s="1"/>
    </row>
    <row r="6" spans="1:1" ht="15.75" customHeight="1" x14ac:dyDescent="0.15">
      <c r="A6" s="2" t="s">
        <v>2</v>
      </c>
    </row>
    <row r="7" spans="1:1" ht="15.75" customHeight="1" x14ac:dyDescent="0.15">
      <c r="A7" s="2" t="s">
        <v>3</v>
      </c>
    </row>
    <row r="8" spans="1:1" ht="15.75" customHeight="1" x14ac:dyDescent="0.15">
      <c r="A8" s="1"/>
    </row>
    <row r="9" spans="1:1" ht="15.75" customHeight="1" x14ac:dyDescent="0.15">
      <c r="A9" s="2" t="s">
        <v>4</v>
      </c>
    </row>
    <row r="10" spans="1:1" ht="15.75" customHeight="1" x14ac:dyDescent="0.15">
      <c r="A10" s="1"/>
    </row>
    <row r="11" spans="1:1" ht="15.75" customHeight="1" x14ac:dyDescent="0.15">
      <c r="A11" s="1" t="s">
        <v>5</v>
      </c>
    </row>
    <row r="12" spans="1:1" ht="15.75" customHeight="1" x14ac:dyDescent="0.15">
      <c r="A12" s="1" t="s">
        <v>6</v>
      </c>
    </row>
    <row r="13" spans="1:1" ht="15.75" customHeight="1" x14ac:dyDescent="0.15">
      <c r="A13" s="1" t="s">
        <v>7</v>
      </c>
    </row>
    <row r="14" spans="1:1" ht="15.75" customHeight="1" x14ac:dyDescent="0.15">
      <c r="A14" s="1"/>
    </row>
    <row r="15" spans="1:1" ht="15.75" customHeight="1" x14ac:dyDescent="0.15">
      <c r="A15" s="1"/>
    </row>
  </sheetData>
  <hyperlinks>
    <hyperlink ref="A6" r:id="rId1" xr:uid="{00000000-0004-0000-0000-000000000000}"/>
    <hyperlink ref="A7" r:id="rId2" xr:uid="{00000000-0004-0000-0000-000001000000}"/>
    <hyperlink ref="A9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3"/>
  <sheetViews>
    <sheetView workbookViewId="0">
      <selection activeCell="D4" sqref="D4:D13"/>
    </sheetView>
  </sheetViews>
  <sheetFormatPr baseColWidth="10" defaultColWidth="12.6640625" defaultRowHeight="15.75" customHeight="1" x14ac:dyDescent="0.15"/>
  <cols>
    <col min="3" max="3" width="25.5" customWidth="1"/>
  </cols>
  <sheetData>
    <row r="1" spans="1:10" x14ac:dyDescent="0.2">
      <c r="A1" s="22" t="s">
        <v>8</v>
      </c>
      <c r="B1" s="23"/>
      <c r="C1" s="23"/>
      <c r="D1" s="3"/>
      <c r="E1" s="3"/>
      <c r="F1" s="4"/>
    </row>
    <row r="2" spans="1:10" x14ac:dyDescent="0.2">
      <c r="A2" s="3" t="s">
        <v>9</v>
      </c>
      <c r="B2" s="3"/>
      <c r="C2" s="3"/>
      <c r="D2" s="3"/>
      <c r="E2" s="3"/>
      <c r="F2" s="4"/>
      <c r="G2" s="3" t="s">
        <v>10</v>
      </c>
      <c r="H2" s="3"/>
    </row>
    <row r="3" spans="1:10" x14ac:dyDescent="0.2">
      <c r="A3" s="5" t="s">
        <v>11</v>
      </c>
      <c r="B3" s="3" t="s">
        <v>12</v>
      </c>
      <c r="C3" s="3" t="s">
        <v>12</v>
      </c>
      <c r="D3" s="3" t="s">
        <v>13</v>
      </c>
      <c r="E3" s="3" t="s">
        <v>14</v>
      </c>
      <c r="F3" s="3" t="s">
        <v>15</v>
      </c>
      <c r="G3" s="6">
        <v>2019</v>
      </c>
      <c r="H3" s="6">
        <v>2023</v>
      </c>
    </row>
    <row r="4" spans="1:10" x14ac:dyDescent="0.2">
      <c r="A4" s="7">
        <v>1</v>
      </c>
      <c r="B4" s="4" t="s">
        <v>16</v>
      </c>
      <c r="C4" s="4" t="s">
        <v>17</v>
      </c>
      <c r="D4" s="8">
        <v>6781577</v>
      </c>
      <c r="E4" s="9">
        <v>1</v>
      </c>
      <c r="F4" s="9">
        <v>3</v>
      </c>
      <c r="G4" s="10">
        <v>-0.15</v>
      </c>
      <c r="H4" s="10">
        <v>0.48</v>
      </c>
    </row>
    <row r="5" spans="1:10" x14ac:dyDescent="0.2">
      <c r="A5" s="7">
        <v>2</v>
      </c>
      <c r="B5" s="4" t="s">
        <v>18</v>
      </c>
      <c r="C5" s="4" t="s">
        <v>19</v>
      </c>
      <c r="D5" s="8">
        <v>5469274</v>
      </c>
      <c r="E5" s="9">
        <v>14</v>
      </c>
      <c r="F5" s="9">
        <v>2</v>
      </c>
      <c r="G5" s="10">
        <v>0.62</v>
      </c>
      <c r="H5" s="10">
        <v>0.14000000000000001</v>
      </c>
    </row>
    <row r="6" spans="1:10" x14ac:dyDescent="0.2">
      <c r="A6" s="7">
        <v>3</v>
      </c>
      <c r="B6" s="4" t="s">
        <v>20</v>
      </c>
      <c r="C6" s="4" t="s">
        <v>21</v>
      </c>
      <c r="D6" s="8">
        <v>5410456</v>
      </c>
      <c r="E6" s="9">
        <v>16</v>
      </c>
      <c r="F6" s="9">
        <v>5</v>
      </c>
      <c r="G6" s="10">
        <v>0.68</v>
      </c>
      <c r="H6" s="10">
        <v>0.3</v>
      </c>
    </row>
    <row r="7" spans="1:10" x14ac:dyDescent="0.2">
      <c r="A7" s="7">
        <v>4</v>
      </c>
      <c r="B7" s="4" t="s">
        <v>22</v>
      </c>
      <c r="C7" s="4" t="s">
        <v>23</v>
      </c>
      <c r="D7" s="8">
        <v>5382163</v>
      </c>
      <c r="E7" s="9">
        <v>2</v>
      </c>
      <c r="F7" s="9">
        <v>1</v>
      </c>
      <c r="G7" s="10">
        <v>-0.03</v>
      </c>
      <c r="H7" s="10">
        <v>0.1</v>
      </c>
    </row>
    <row r="8" spans="1:10" x14ac:dyDescent="0.2">
      <c r="A8" s="7">
        <v>5</v>
      </c>
      <c r="B8" s="4" t="s">
        <v>24</v>
      </c>
      <c r="C8" s="4" t="s">
        <v>25</v>
      </c>
      <c r="D8" s="8">
        <v>4982769</v>
      </c>
      <c r="E8" s="9">
        <v>12</v>
      </c>
      <c r="F8" s="9">
        <v>4</v>
      </c>
      <c r="G8" s="10">
        <v>0.45</v>
      </c>
      <c r="H8" s="10">
        <v>0.18</v>
      </c>
      <c r="J8" s="11" t="s">
        <v>26</v>
      </c>
    </row>
    <row r="9" spans="1:10" x14ac:dyDescent="0.2">
      <c r="A9" s="7">
        <v>6</v>
      </c>
      <c r="B9" s="4" t="s">
        <v>27</v>
      </c>
      <c r="C9" s="4" t="s">
        <v>28</v>
      </c>
      <c r="D9" s="8">
        <v>4306599</v>
      </c>
      <c r="E9" s="9">
        <v>19</v>
      </c>
      <c r="F9" s="9">
        <v>6</v>
      </c>
      <c r="G9" s="10">
        <v>0.37</v>
      </c>
      <c r="H9" s="10">
        <v>0.08</v>
      </c>
    </row>
    <row r="10" spans="1:10" x14ac:dyDescent="0.2">
      <c r="A10" s="7">
        <v>7</v>
      </c>
      <c r="B10" s="4" t="s">
        <v>29</v>
      </c>
      <c r="C10" s="4" t="s">
        <v>30</v>
      </c>
      <c r="D10" s="8">
        <v>4201802</v>
      </c>
      <c r="E10" s="9">
        <v>4</v>
      </c>
      <c r="F10" s="9">
        <v>11</v>
      </c>
      <c r="G10" s="10">
        <v>-0.13</v>
      </c>
      <c r="H10" s="10">
        <v>0.28999999999999998</v>
      </c>
    </row>
    <row r="11" spans="1:10" x14ac:dyDescent="0.2">
      <c r="A11" s="7">
        <v>8</v>
      </c>
      <c r="B11" s="4" t="s">
        <v>31</v>
      </c>
      <c r="C11" s="4" t="s">
        <v>32</v>
      </c>
      <c r="D11" s="8">
        <v>4069071</v>
      </c>
      <c r="E11" s="9">
        <v>3</v>
      </c>
      <c r="F11" s="9">
        <v>7</v>
      </c>
      <c r="G11" s="10">
        <v>-0.26</v>
      </c>
      <c r="H11" s="10">
        <v>0.04</v>
      </c>
    </row>
    <row r="12" spans="1:10" x14ac:dyDescent="0.2">
      <c r="A12" s="7">
        <v>9</v>
      </c>
      <c r="B12" s="4" t="s">
        <v>33</v>
      </c>
      <c r="C12" s="4" t="s">
        <v>34</v>
      </c>
      <c r="D12" s="8">
        <v>4033344</v>
      </c>
      <c r="E12" s="9">
        <v>9</v>
      </c>
      <c r="F12" s="9">
        <v>9</v>
      </c>
      <c r="G12" s="10">
        <v>0.05</v>
      </c>
      <c r="H12" s="10">
        <v>0.16</v>
      </c>
    </row>
    <row r="13" spans="1:10" x14ac:dyDescent="0.2">
      <c r="A13" s="7">
        <v>10</v>
      </c>
      <c r="B13" s="4" t="s">
        <v>35</v>
      </c>
      <c r="C13" s="4" t="s">
        <v>36</v>
      </c>
      <c r="D13" s="8">
        <v>4011235</v>
      </c>
      <c r="E13" s="9">
        <v>8</v>
      </c>
      <c r="F13" s="9">
        <v>8</v>
      </c>
      <c r="G13" s="10">
        <v>0.05</v>
      </c>
      <c r="H13" s="10">
        <v>0.03</v>
      </c>
    </row>
  </sheetData>
  <mergeCells count="1">
    <mergeCell ref="A1:C1"/>
  </mergeCells>
  <hyperlinks>
    <hyperlink ref="J8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84"/>
  <sheetViews>
    <sheetView topLeftCell="A13" workbookViewId="0">
      <selection activeCell="B4" sqref="B4:B13"/>
    </sheetView>
  </sheetViews>
  <sheetFormatPr baseColWidth="10" defaultColWidth="12.6640625" defaultRowHeight="15.75" customHeight="1" x14ac:dyDescent="0.15"/>
  <cols>
    <col min="3" max="3" width="25.5" customWidth="1"/>
  </cols>
  <sheetData>
    <row r="1" spans="1:9" ht="15" x14ac:dyDescent="0.2">
      <c r="A1" s="12" t="s">
        <v>37</v>
      </c>
      <c r="B1" s="13"/>
      <c r="C1" s="13"/>
      <c r="D1" s="13"/>
      <c r="E1" s="13"/>
      <c r="F1" s="13"/>
    </row>
    <row r="2" spans="1:9" ht="15.75" customHeight="1" x14ac:dyDescent="0.2">
      <c r="A2" s="14"/>
      <c r="B2" s="13"/>
      <c r="C2" s="13"/>
      <c r="D2" s="13"/>
      <c r="E2" s="24"/>
      <c r="F2" s="23"/>
    </row>
    <row r="3" spans="1:9" ht="15" x14ac:dyDescent="0.2">
      <c r="A3" s="15" t="s">
        <v>11</v>
      </c>
      <c r="B3" s="12" t="s">
        <v>12</v>
      </c>
      <c r="C3" s="12" t="s">
        <v>38</v>
      </c>
      <c r="D3" s="16" t="s">
        <v>13</v>
      </c>
      <c r="E3" s="17"/>
      <c r="F3" s="17"/>
    </row>
    <row r="4" spans="1:9" ht="15" x14ac:dyDescent="0.2">
      <c r="A4" s="14">
        <v>1</v>
      </c>
      <c r="B4" s="13" t="s">
        <v>18</v>
      </c>
      <c r="C4" s="13" t="s">
        <v>19</v>
      </c>
      <c r="D4" s="18">
        <v>5469274</v>
      </c>
      <c r="E4" s="19"/>
      <c r="F4" s="19"/>
    </row>
    <row r="5" spans="1:9" ht="15" x14ac:dyDescent="0.2">
      <c r="A5" s="14">
        <v>2</v>
      </c>
      <c r="B5" s="13" t="s">
        <v>39</v>
      </c>
      <c r="C5" s="13" t="s">
        <v>40</v>
      </c>
      <c r="D5" s="18">
        <v>3151116</v>
      </c>
      <c r="E5" s="19"/>
      <c r="F5" s="19"/>
    </row>
    <row r="6" spans="1:9" ht="15" x14ac:dyDescent="0.2">
      <c r="A6" s="14">
        <v>3</v>
      </c>
      <c r="B6" s="13" t="s">
        <v>41</v>
      </c>
      <c r="C6" s="13" t="s">
        <v>42</v>
      </c>
      <c r="D6" s="18">
        <v>1919742</v>
      </c>
      <c r="E6" s="19"/>
      <c r="F6" s="19"/>
    </row>
    <row r="7" spans="1:9" ht="15" x14ac:dyDescent="0.2">
      <c r="A7" s="14">
        <v>4</v>
      </c>
      <c r="B7" s="13" t="s">
        <v>43</v>
      </c>
      <c r="C7" s="13" t="s">
        <v>44</v>
      </c>
      <c r="D7" s="18">
        <v>1844795</v>
      </c>
      <c r="E7" s="19"/>
      <c r="F7" s="19"/>
    </row>
    <row r="8" spans="1:9" ht="15" x14ac:dyDescent="0.2">
      <c r="A8" s="14">
        <v>5</v>
      </c>
      <c r="B8" s="13" t="s">
        <v>45</v>
      </c>
      <c r="C8" s="13" t="s">
        <v>46</v>
      </c>
      <c r="D8" s="18">
        <v>1709668</v>
      </c>
      <c r="E8" s="19"/>
      <c r="F8" s="19"/>
      <c r="I8" s="11" t="s">
        <v>26</v>
      </c>
    </row>
    <row r="9" spans="1:9" ht="15" x14ac:dyDescent="0.2">
      <c r="A9" s="14">
        <v>6</v>
      </c>
      <c r="B9" s="13" t="s">
        <v>47</v>
      </c>
      <c r="C9" s="13" t="s">
        <v>48</v>
      </c>
      <c r="D9" s="18">
        <v>1393359</v>
      </c>
      <c r="E9" s="19"/>
      <c r="F9" s="19"/>
    </row>
    <row r="10" spans="1:9" ht="15" x14ac:dyDescent="0.2">
      <c r="A10" s="14">
        <v>7</v>
      </c>
      <c r="B10" s="13" t="s">
        <v>49</v>
      </c>
      <c r="C10" s="13" t="s">
        <v>50</v>
      </c>
      <c r="D10" s="18">
        <v>1177914</v>
      </c>
      <c r="E10" s="19"/>
      <c r="F10" s="19"/>
    </row>
    <row r="11" spans="1:9" ht="15" x14ac:dyDescent="0.2">
      <c r="A11" s="14">
        <v>8</v>
      </c>
      <c r="B11" s="13" t="s">
        <v>51</v>
      </c>
      <c r="C11" s="13" t="s">
        <v>52</v>
      </c>
      <c r="D11" s="18">
        <v>1085706</v>
      </c>
      <c r="E11" s="19"/>
      <c r="F11" s="19"/>
    </row>
    <row r="12" spans="1:9" ht="15" x14ac:dyDescent="0.2">
      <c r="A12" s="14">
        <v>9</v>
      </c>
      <c r="B12" s="13" t="s">
        <v>53</v>
      </c>
      <c r="C12" s="13" t="s">
        <v>54</v>
      </c>
      <c r="D12" s="18">
        <v>1044048</v>
      </c>
      <c r="E12" s="19"/>
      <c r="F12" s="19"/>
    </row>
    <row r="13" spans="1:9" ht="15" x14ac:dyDescent="0.2">
      <c r="A13" s="14">
        <v>10</v>
      </c>
      <c r="B13" s="13" t="s">
        <v>55</v>
      </c>
      <c r="C13" s="13" t="s">
        <v>56</v>
      </c>
      <c r="D13" s="18">
        <v>1021577</v>
      </c>
      <c r="E13" s="19"/>
      <c r="F13" s="19"/>
    </row>
    <row r="16" spans="1:9" ht="15" x14ac:dyDescent="0.2">
      <c r="A16" s="24" t="s">
        <v>57</v>
      </c>
      <c r="B16" s="23"/>
      <c r="C16" s="13"/>
      <c r="D16" s="13"/>
      <c r="E16" s="13"/>
      <c r="F16" s="13"/>
    </row>
    <row r="17" spans="1:6" ht="15" x14ac:dyDescent="0.2">
      <c r="A17" s="13"/>
      <c r="B17" s="13"/>
      <c r="C17" s="13"/>
      <c r="D17" s="13"/>
      <c r="E17" s="24"/>
      <c r="F17" s="23"/>
    </row>
    <row r="18" spans="1:6" ht="15" x14ac:dyDescent="0.2">
      <c r="A18" s="15" t="s">
        <v>11</v>
      </c>
      <c r="B18" s="12" t="s">
        <v>12</v>
      </c>
      <c r="C18" s="12" t="s">
        <v>38</v>
      </c>
      <c r="D18" s="12" t="s">
        <v>13</v>
      </c>
      <c r="E18" s="17"/>
      <c r="F18" s="17"/>
    </row>
    <row r="19" spans="1:6" ht="15" x14ac:dyDescent="0.2">
      <c r="A19" s="14">
        <v>1</v>
      </c>
      <c r="B19" s="13" t="s">
        <v>16</v>
      </c>
      <c r="C19" s="13" t="s">
        <v>17</v>
      </c>
      <c r="D19" s="18">
        <v>6781577</v>
      </c>
      <c r="E19" s="19"/>
      <c r="F19" s="19"/>
    </row>
    <row r="20" spans="1:6" ht="15" x14ac:dyDescent="0.2">
      <c r="A20" s="14">
        <v>2</v>
      </c>
      <c r="B20" s="13" t="s">
        <v>20</v>
      </c>
      <c r="C20" s="13" t="s">
        <v>21</v>
      </c>
      <c r="D20" s="18">
        <v>5410456</v>
      </c>
      <c r="E20" s="19"/>
      <c r="F20" s="19"/>
    </row>
    <row r="21" spans="1:6" ht="15" x14ac:dyDescent="0.2">
      <c r="A21" s="14">
        <v>3</v>
      </c>
      <c r="B21" s="13" t="s">
        <v>22</v>
      </c>
      <c r="C21" s="13" t="s">
        <v>23</v>
      </c>
      <c r="D21" s="18">
        <v>5382163</v>
      </c>
      <c r="E21" s="19"/>
      <c r="F21" s="19"/>
    </row>
    <row r="22" spans="1:6" ht="15" x14ac:dyDescent="0.2">
      <c r="A22" s="14">
        <v>4</v>
      </c>
      <c r="B22" s="13" t="s">
        <v>24</v>
      </c>
      <c r="C22" s="13" t="s">
        <v>25</v>
      </c>
      <c r="D22" s="18">
        <v>4982769</v>
      </c>
      <c r="E22" s="19"/>
      <c r="F22" s="19"/>
    </row>
    <row r="23" spans="1:6" ht="15" x14ac:dyDescent="0.2">
      <c r="A23" s="14">
        <v>5</v>
      </c>
      <c r="B23" s="13" t="s">
        <v>29</v>
      </c>
      <c r="C23" s="13" t="s">
        <v>30</v>
      </c>
      <c r="D23" s="18">
        <v>4201802</v>
      </c>
      <c r="E23" s="19"/>
      <c r="F23" s="19"/>
    </row>
    <row r="24" spans="1:6" ht="15" x14ac:dyDescent="0.2">
      <c r="A24" s="14">
        <v>6</v>
      </c>
      <c r="B24" s="13" t="s">
        <v>31</v>
      </c>
      <c r="C24" s="13" t="s">
        <v>32</v>
      </c>
      <c r="D24" s="18">
        <v>4069071</v>
      </c>
      <c r="E24" s="19"/>
      <c r="F24" s="19"/>
    </row>
    <row r="25" spans="1:6" ht="15" x14ac:dyDescent="0.2">
      <c r="A25" s="14">
        <v>7</v>
      </c>
      <c r="B25" s="13" t="s">
        <v>33</v>
      </c>
      <c r="C25" s="13" t="s">
        <v>34</v>
      </c>
      <c r="D25" s="18">
        <v>4033344</v>
      </c>
      <c r="E25" s="19"/>
      <c r="F25" s="19"/>
    </row>
    <row r="26" spans="1:6" ht="15" x14ac:dyDescent="0.2">
      <c r="A26" s="14">
        <v>8</v>
      </c>
      <c r="B26" s="13" t="s">
        <v>58</v>
      </c>
      <c r="C26" s="13" t="s">
        <v>59</v>
      </c>
      <c r="D26" s="18">
        <v>3970518</v>
      </c>
      <c r="E26" s="19"/>
      <c r="F26" s="19"/>
    </row>
    <row r="27" spans="1:6" ht="15" x14ac:dyDescent="0.2">
      <c r="A27" s="14">
        <v>9</v>
      </c>
      <c r="B27" s="13" t="s">
        <v>60</v>
      </c>
      <c r="C27" s="13" t="s">
        <v>61</v>
      </c>
      <c r="D27" s="18">
        <v>3647730</v>
      </c>
      <c r="E27" s="19"/>
      <c r="F27" s="19"/>
    </row>
    <row r="28" spans="1:6" ht="15" x14ac:dyDescent="0.2">
      <c r="A28" s="14">
        <v>10</v>
      </c>
      <c r="B28" s="13" t="s">
        <v>62</v>
      </c>
      <c r="C28" s="13" t="s">
        <v>63</v>
      </c>
      <c r="D28" s="18">
        <v>3596747</v>
      </c>
      <c r="E28" s="19"/>
      <c r="F28" s="19"/>
    </row>
    <row r="30" spans="1:6" ht="15" x14ac:dyDescent="0.2">
      <c r="A30" s="24" t="s">
        <v>64</v>
      </c>
      <c r="B30" s="23"/>
      <c r="C30" s="23"/>
      <c r="D30" s="13"/>
      <c r="E30" s="13"/>
      <c r="F30" s="13"/>
    </row>
    <row r="31" spans="1:6" ht="15.75" customHeight="1" x14ac:dyDescent="0.2">
      <c r="A31" s="14"/>
      <c r="B31" s="13"/>
      <c r="C31" s="13"/>
      <c r="D31" s="13"/>
      <c r="E31" s="24"/>
      <c r="F31" s="23"/>
    </row>
    <row r="32" spans="1:6" ht="15" x14ac:dyDescent="0.2">
      <c r="A32" s="15" t="s">
        <v>11</v>
      </c>
      <c r="B32" s="12" t="s">
        <v>12</v>
      </c>
      <c r="C32" s="12" t="s">
        <v>38</v>
      </c>
      <c r="D32" s="12" t="s">
        <v>13</v>
      </c>
      <c r="E32" s="17"/>
      <c r="F32" s="17"/>
    </row>
    <row r="33" spans="1:6" ht="15" x14ac:dyDescent="0.2">
      <c r="A33" s="14">
        <v>1</v>
      </c>
      <c r="B33" s="13" t="s">
        <v>35</v>
      </c>
      <c r="C33" s="13" t="s">
        <v>36</v>
      </c>
      <c r="D33" s="18">
        <v>4011235</v>
      </c>
      <c r="E33" s="19"/>
      <c r="F33" s="19"/>
    </row>
    <row r="34" spans="1:6" ht="15" x14ac:dyDescent="0.2">
      <c r="A34" s="14">
        <v>2</v>
      </c>
      <c r="B34" s="13" t="s">
        <v>65</v>
      </c>
      <c r="C34" s="13" t="s">
        <v>66</v>
      </c>
      <c r="D34" s="18">
        <v>3155008</v>
      </c>
      <c r="E34" s="19"/>
      <c r="F34" s="19"/>
    </row>
    <row r="35" spans="1:6" ht="15" x14ac:dyDescent="0.2">
      <c r="A35" s="14">
        <v>3</v>
      </c>
      <c r="B35" s="13" t="s">
        <v>67</v>
      </c>
      <c r="C35" s="13" t="s">
        <v>68</v>
      </c>
      <c r="D35" s="18">
        <v>2410402</v>
      </c>
      <c r="E35" s="19"/>
      <c r="F35" s="19"/>
    </row>
    <row r="36" spans="1:6" ht="15" x14ac:dyDescent="0.2">
      <c r="A36" s="14">
        <v>4</v>
      </c>
      <c r="B36" s="13" t="s">
        <v>69</v>
      </c>
      <c r="C36" s="13" t="s">
        <v>70</v>
      </c>
      <c r="D36" s="18">
        <v>2355104</v>
      </c>
      <c r="E36" s="19"/>
      <c r="F36" s="19"/>
    </row>
    <row r="37" spans="1:6" ht="15" x14ac:dyDescent="0.2">
      <c r="A37" s="14">
        <v>5</v>
      </c>
      <c r="B37" s="13" t="s">
        <v>71</v>
      </c>
      <c r="C37" s="13" t="s">
        <v>72</v>
      </c>
      <c r="D37" s="18">
        <v>2302416</v>
      </c>
      <c r="E37" s="19"/>
      <c r="F37" s="19"/>
    </row>
    <row r="38" spans="1:6" ht="15" x14ac:dyDescent="0.2">
      <c r="A38" s="14">
        <v>6</v>
      </c>
      <c r="B38" s="13" t="s">
        <v>73</v>
      </c>
      <c r="C38" s="13" t="s">
        <v>74</v>
      </c>
      <c r="D38" s="18">
        <v>2280161</v>
      </c>
      <c r="E38" s="19"/>
      <c r="F38" s="19"/>
    </row>
    <row r="39" spans="1:6" ht="15" x14ac:dyDescent="0.2">
      <c r="A39" s="14">
        <v>7</v>
      </c>
      <c r="B39" s="13" t="s">
        <v>75</v>
      </c>
      <c r="C39" s="13" t="s">
        <v>76</v>
      </c>
      <c r="D39" s="18">
        <v>2177719</v>
      </c>
      <c r="E39" s="19"/>
      <c r="F39" s="19"/>
    </row>
    <row r="40" spans="1:6" ht="15" x14ac:dyDescent="0.2">
      <c r="A40" s="14">
        <v>8</v>
      </c>
      <c r="B40" s="13" t="s">
        <v>77</v>
      </c>
      <c r="C40" s="13" t="s">
        <v>78</v>
      </c>
      <c r="D40" s="18">
        <v>2110576</v>
      </c>
      <c r="E40" s="19"/>
      <c r="F40" s="19"/>
    </row>
    <row r="41" spans="1:6" ht="15" x14ac:dyDescent="0.2">
      <c r="A41" s="14">
        <v>9</v>
      </c>
      <c r="B41" s="13" t="s">
        <v>79</v>
      </c>
      <c r="C41" s="13" t="s">
        <v>80</v>
      </c>
      <c r="D41" s="18">
        <v>2031001</v>
      </c>
      <c r="E41" s="19"/>
      <c r="F41" s="19"/>
    </row>
    <row r="42" spans="1:6" ht="15" x14ac:dyDescent="0.2">
      <c r="A42" s="14">
        <v>10</v>
      </c>
      <c r="B42" s="13" t="s">
        <v>81</v>
      </c>
      <c r="C42" s="13" t="s">
        <v>82</v>
      </c>
      <c r="D42" s="18">
        <v>1978977</v>
      </c>
      <c r="E42" s="19"/>
      <c r="F42" s="19"/>
    </row>
    <row r="44" spans="1:6" ht="15" x14ac:dyDescent="0.2">
      <c r="A44" s="24" t="s">
        <v>83</v>
      </c>
      <c r="B44" s="23"/>
      <c r="C44" s="23"/>
      <c r="D44" s="13"/>
      <c r="E44" s="13"/>
      <c r="F44" s="13"/>
    </row>
    <row r="45" spans="1:6" ht="15.75" customHeight="1" x14ac:dyDescent="0.2">
      <c r="A45" s="14"/>
      <c r="B45" s="13"/>
      <c r="C45" s="13"/>
      <c r="D45" s="13"/>
      <c r="E45" s="24"/>
      <c r="F45" s="23"/>
    </row>
    <row r="46" spans="1:6" ht="15" x14ac:dyDescent="0.2">
      <c r="A46" s="15" t="s">
        <v>11</v>
      </c>
      <c r="B46" s="12" t="s">
        <v>12</v>
      </c>
      <c r="C46" s="12" t="s">
        <v>38</v>
      </c>
      <c r="D46" s="12" t="s">
        <v>13</v>
      </c>
      <c r="E46" s="17"/>
      <c r="F46" s="17"/>
    </row>
    <row r="47" spans="1:6" ht="15" x14ac:dyDescent="0.2">
      <c r="A47" s="14">
        <v>1</v>
      </c>
      <c r="B47" s="13" t="s">
        <v>84</v>
      </c>
      <c r="C47" s="13" t="s">
        <v>85</v>
      </c>
      <c r="D47" s="18">
        <v>2309653</v>
      </c>
      <c r="E47" s="19"/>
      <c r="F47" s="19"/>
    </row>
    <row r="48" spans="1:6" ht="15" x14ac:dyDescent="0.2">
      <c r="A48" s="14">
        <v>2</v>
      </c>
      <c r="B48" s="13" t="s">
        <v>86</v>
      </c>
      <c r="C48" s="13" t="s">
        <v>87</v>
      </c>
      <c r="D48" s="18">
        <v>2056486</v>
      </c>
      <c r="E48" s="19"/>
      <c r="F48" s="19"/>
    </row>
    <row r="49" spans="1:6" ht="15" x14ac:dyDescent="0.2">
      <c r="A49" s="14">
        <v>3</v>
      </c>
      <c r="B49" s="13" t="s">
        <v>88</v>
      </c>
      <c r="C49" s="13" t="s">
        <v>89</v>
      </c>
      <c r="D49" s="18">
        <v>1808067</v>
      </c>
      <c r="E49" s="19"/>
      <c r="F49" s="19"/>
    </row>
    <row r="50" spans="1:6" ht="15" x14ac:dyDescent="0.2">
      <c r="A50" s="14">
        <v>4</v>
      </c>
      <c r="B50" s="13" t="s">
        <v>90</v>
      </c>
      <c r="C50" s="13" t="s">
        <v>91</v>
      </c>
      <c r="D50" s="18">
        <v>1803186</v>
      </c>
      <c r="E50" s="19"/>
      <c r="F50" s="19"/>
    </row>
    <row r="51" spans="1:6" ht="15" x14ac:dyDescent="0.2">
      <c r="A51" s="14">
        <v>5</v>
      </c>
      <c r="B51" s="13" t="s">
        <v>92</v>
      </c>
      <c r="C51" s="13" t="s">
        <v>93</v>
      </c>
      <c r="D51" s="18">
        <v>1400682</v>
      </c>
      <c r="E51" s="19"/>
      <c r="F51" s="19"/>
    </row>
    <row r="52" spans="1:6" ht="15" x14ac:dyDescent="0.2">
      <c r="A52" s="14">
        <v>6</v>
      </c>
      <c r="B52" s="13" t="s">
        <v>94</v>
      </c>
      <c r="C52" s="13" t="s">
        <v>95</v>
      </c>
      <c r="D52" s="18">
        <v>1370714</v>
      </c>
      <c r="E52" s="19"/>
      <c r="F52" s="19"/>
    </row>
    <row r="53" spans="1:6" ht="15" x14ac:dyDescent="0.2">
      <c r="A53" s="14">
        <v>7</v>
      </c>
      <c r="B53" s="13" t="s">
        <v>96</v>
      </c>
      <c r="C53" s="13" t="s">
        <v>97</v>
      </c>
      <c r="D53" s="18">
        <v>1366353</v>
      </c>
      <c r="E53" s="19"/>
      <c r="F53" s="19"/>
    </row>
    <row r="54" spans="1:6" ht="15" x14ac:dyDescent="0.2">
      <c r="A54" s="14">
        <v>8</v>
      </c>
      <c r="B54" s="13" t="s">
        <v>98</v>
      </c>
      <c r="C54" s="13" t="s">
        <v>99</v>
      </c>
      <c r="D54" s="18">
        <v>1365176</v>
      </c>
      <c r="E54" s="19"/>
      <c r="F54" s="19"/>
    </row>
    <row r="55" spans="1:6" ht="15" x14ac:dyDescent="0.2">
      <c r="A55" s="14">
        <v>9</v>
      </c>
      <c r="B55" s="13" t="s">
        <v>100</v>
      </c>
      <c r="C55" s="13" t="s">
        <v>101</v>
      </c>
      <c r="D55" s="18">
        <v>1350013</v>
      </c>
      <c r="E55" s="19"/>
      <c r="F55" s="19"/>
    </row>
    <row r="56" spans="1:6" ht="15" x14ac:dyDescent="0.2">
      <c r="A56" s="14">
        <v>10</v>
      </c>
      <c r="B56" s="13" t="s">
        <v>102</v>
      </c>
      <c r="C56" s="13" t="s">
        <v>103</v>
      </c>
      <c r="D56" s="18">
        <v>1346685</v>
      </c>
      <c r="E56" s="19"/>
      <c r="F56" s="19"/>
    </row>
    <row r="58" spans="1:6" ht="15" x14ac:dyDescent="0.2">
      <c r="A58" s="24" t="s">
        <v>104</v>
      </c>
      <c r="B58" s="23"/>
      <c r="C58" s="23"/>
      <c r="D58" s="13"/>
    </row>
    <row r="59" spans="1:6" ht="15" x14ac:dyDescent="0.2">
      <c r="A59" s="14"/>
      <c r="B59" s="13"/>
      <c r="C59" s="13"/>
      <c r="D59" s="13"/>
    </row>
    <row r="60" spans="1:6" ht="15" x14ac:dyDescent="0.2">
      <c r="A60" s="15" t="s">
        <v>11</v>
      </c>
      <c r="B60" s="12" t="s">
        <v>12</v>
      </c>
      <c r="C60" s="12" t="s">
        <v>38</v>
      </c>
      <c r="D60" s="12" t="s">
        <v>13</v>
      </c>
    </row>
    <row r="61" spans="1:6" ht="15.75" customHeight="1" x14ac:dyDescent="0.2">
      <c r="A61" s="14">
        <v>1</v>
      </c>
      <c r="B61" s="13" t="s">
        <v>18</v>
      </c>
      <c r="C61" s="13" t="s">
        <v>19</v>
      </c>
      <c r="D61" s="18">
        <v>5469274</v>
      </c>
    </row>
    <row r="62" spans="1:6" ht="15" x14ac:dyDescent="0.2">
      <c r="A62" s="14">
        <v>2</v>
      </c>
      <c r="B62" s="13" t="s">
        <v>27</v>
      </c>
      <c r="C62" s="13" t="s">
        <v>28</v>
      </c>
      <c r="D62" s="18">
        <v>4306599</v>
      </c>
    </row>
    <row r="63" spans="1:6" ht="15" x14ac:dyDescent="0.2">
      <c r="A63" s="14">
        <v>3</v>
      </c>
      <c r="B63" s="13" t="s">
        <v>65</v>
      </c>
      <c r="C63" s="13" t="s">
        <v>66</v>
      </c>
      <c r="D63" s="18">
        <v>3155008</v>
      </c>
    </row>
    <row r="64" spans="1:6" ht="15" x14ac:dyDescent="0.2">
      <c r="A64" s="14">
        <v>4</v>
      </c>
      <c r="B64" s="13" t="s">
        <v>39</v>
      </c>
      <c r="C64" s="13" t="s">
        <v>40</v>
      </c>
      <c r="D64" s="18">
        <v>3151116</v>
      </c>
    </row>
    <row r="65" spans="1:4" ht="15" x14ac:dyDescent="0.2">
      <c r="A65" s="14">
        <v>5</v>
      </c>
      <c r="B65" s="13" t="s">
        <v>105</v>
      </c>
      <c r="C65" s="13" t="s">
        <v>106</v>
      </c>
      <c r="D65" s="18">
        <v>2957019</v>
      </c>
    </row>
    <row r="66" spans="1:4" ht="15" x14ac:dyDescent="0.2">
      <c r="A66" s="14">
        <v>6</v>
      </c>
      <c r="B66" s="13" t="s">
        <v>107</v>
      </c>
      <c r="C66" s="13" t="s">
        <v>108</v>
      </c>
      <c r="D66" s="18">
        <v>2859856</v>
      </c>
    </row>
    <row r="67" spans="1:4" ht="15" x14ac:dyDescent="0.2">
      <c r="A67" s="14">
        <v>7</v>
      </c>
      <c r="B67" s="13" t="s">
        <v>109</v>
      </c>
      <c r="C67" s="13" t="s">
        <v>110</v>
      </c>
      <c r="D67" s="18">
        <v>2580782</v>
      </c>
    </row>
    <row r="68" spans="1:4" ht="15" x14ac:dyDescent="0.2">
      <c r="A68" s="14">
        <v>8</v>
      </c>
      <c r="B68" s="13" t="s">
        <v>111</v>
      </c>
      <c r="C68" s="13" t="s">
        <v>112</v>
      </c>
      <c r="D68" s="18">
        <v>2430774</v>
      </c>
    </row>
    <row r="69" spans="1:4" ht="15" x14ac:dyDescent="0.2">
      <c r="A69" s="14">
        <v>9</v>
      </c>
      <c r="B69" s="13" t="s">
        <v>73</v>
      </c>
      <c r="C69" s="13" t="s">
        <v>74</v>
      </c>
      <c r="D69" s="18">
        <v>2280161</v>
      </c>
    </row>
    <row r="70" spans="1:4" ht="15" x14ac:dyDescent="0.2">
      <c r="A70" s="14">
        <v>10</v>
      </c>
      <c r="B70" s="13" t="s">
        <v>113</v>
      </c>
      <c r="C70" s="13" t="s">
        <v>114</v>
      </c>
      <c r="D70" s="18">
        <v>2150870</v>
      </c>
    </row>
    <row r="72" spans="1:4" ht="15" x14ac:dyDescent="0.2">
      <c r="A72" s="24" t="s">
        <v>115</v>
      </c>
      <c r="B72" s="23"/>
      <c r="C72" s="23"/>
      <c r="D72" s="13"/>
    </row>
    <row r="73" spans="1:4" ht="15" x14ac:dyDescent="0.2">
      <c r="A73" s="14"/>
      <c r="B73" s="13"/>
      <c r="C73" s="13"/>
      <c r="D73" s="13"/>
    </row>
    <row r="74" spans="1:4" ht="15" x14ac:dyDescent="0.2">
      <c r="A74" s="15" t="s">
        <v>11</v>
      </c>
      <c r="B74" s="12" t="s">
        <v>12</v>
      </c>
      <c r="C74" s="12" t="s">
        <v>38</v>
      </c>
      <c r="D74" s="12" t="s">
        <v>13</v>
      </c>
    </row>
    <row r="75" spans="1:4" ht="15" x14ac:dyDescent="0.2">
      <c r="A75" s="14">
        <v>1</v>
      </c>
      <c r="B75" s="13" t="s">
        <v>35</v>
      </c>
      <c r="C75" s="13" t="s">
        <v>36</v>
      </c>
      <c r="D75" s="18">
        <v>4011235</v>
      </c>
    </row>
    <row r="76" spans="1:4" ht="15" x14ac:dyDescent="0.2">
      <c r="A76" s="14">
        <v>2</v>
      </c>
      <c r="B76" s="13" t="s">
        <v>84</v>
      </c>
      <c r="C76" s="13" t="s">
        <v>85</v>
      </c>
      <c r="D76" s="18">
        <v>2309653</v>
      </c>
    </row>
    <row r="77" spans="1:4" ht="15" x14ac:dyDescent="0.2">
      <c r="A77" s="14">
        <v>3</v>
      </c>
      <c r="B77" s="13" t="s">
        <v>75</v>
      </c>
      <c r="C77" s="13" t="s">
        <v>76</v>
      </c>
      <c r="D77" s="18">
        <v>2177719</v>
      </c>
    </row>
    <row r="78" spans="1:4" ht="15" x14ac:dyDescent="0.2">
      <c r="A78" s="14">
        <v>4</v>
      </c>
      <c r="B78" s="13" t="s">
        <v>77</v>
      </c>
      <c r="C78" s="13" t="s">
        <v>78</v>
      </c>
      <c r="D78" s="18">
        <v>2110576</v>
      </c>
    </row>
    <row r="79" spans="1:4" ht="15" x14ac:dyDescent="0.2">
      <c r="A79" s="14">
        <v>5</v>
      </c>
      <c r="B79" s="13" t="s">
        <v>116</v>
      </c>
      <c r="C79" s="13" t="s">
        <v>117</v>
      </c>
      <c r="D79" s="18">
        <v>1709290</v>
      </c>
    </row>
    <row r="80" spans="1:4" ht="15" x14ac:dyDescent="0.2">
      <c r="A80" s="14">
        <v>6</v>
      </c>
      <c r="B80" s="13" t="s">
        <v>118</v>
      </c>
      <c r="C80" s="13" t="s">
        <v>119</v>
      </c>
      <c r="D80" s="18">
        <v>1515224</v>
      </c>
    </row>
    <row r="81" spans="1:4" ht="15" x14ac:dyDescent="0.2">
      <c r="A81" s="14">
        <v>7</v>
      </c>
      <c r="B81" s="13" t="s">
        <v>120</v>
      </c>
      <c r="C81" s="13" t="s">
        <v>121</v>
      </c>
      <c r="D81" s="18">
        <v>1494965</v>
      </c>
    </row>
    <row r="82" spans="1:4" ht="15" x14ac:dyDescent="0.2">
      <c r="A82" s="14">
        <v>8</v>
      </c>
      <c r="B82" s="13" t="s">
        <v>122</v>
      </c>
      <c r="C82" s="13" t="s">
        <v>123</v>
      </c>
      <c r="D82" s="18">
        <v>1408171</v>
      </c>
    </row>
    <row r="83" spans="1:4" ht="15" x14ac:dyDescent="0.2">
      <c r="A83" s="14">
        <v>9</v>
      </c>
      <c r="B83" s="13" t="s">
        <v>92</v>
      </c>
      <c r="C83" s="13" t="s">
        <v>93</v>
      </c>
      <c r="D83" s="18">
        <v>1400682</v>
      </c>
    </row>
    <row r="84" spans="1:4" ht="15" x14ac:dyDescent="0.2">
      <c r="A84" s="14">
        <v>10</v>
      </c>
      <c r="B84" s="13" t="s">
        <v>94</v>
      </c>
      <c r="C84" s="13" t="s">
        <v>95</v>
      </c>
      <c r="D84" s="18">
        <v>1370714</v>
      </c>
    </row>
  </sheetData>
  <mergeCells count="9">
    <mergeCell ref="A44:C44"/>
    <mergeCell ref="E45:F45"/>
    <mergeCell ref="A58:C58"/>
    <mergeCell ref="A72:C72"/>
    <mergeCell ref="E31:F31"/>
    <mergeCell ref="E2:F2"/>
    <mergeCell ref="A16:B16"/>
    <mergeCell ref="E17:F17"/>
    <mergeCell ref="A30:C30"/>
  </mergeCells>
  <hyperlinks>
    <hyperlink ref="I8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8778-3EA5-8B49-A553-80C60E520D33}">
  <dimension ref="A7:F116"/>
  <sheetViews>
    <sheetView tabSelected="1" topLeftCell="A79" workbookViewId="0">
      <selection activeCell="A7" sqref="A7:B115"/>
    </sheetView>
  </sheetViews>
  <sheetFormatPr baseColWidth="10" defaultRowHeight="13" x14ac:dyDescent="0.15"/>
  <cols>
    <col min="3" max="3" width="8.6640625" bestFit="1" customWidth="1"/>
    <col min="4" max="4" width="37.33203125" bestFit="1" customWidth="1"/>
  </cols>
  <sheetData>
    <row r="7" spans="1:6" ht="15" x14ac:dyDescent="0.2">
      <c r="A7" t="str">
        <f>MID(C7,1,3)</f>
        <v>CAI</v>
      </c>
      <c r="B7" t="str">
        <f>MID(C7,5,6)</f>
        <v>JED</v>
      </c>
      <c r="C7" s="13" t="s">
        <v>18</v>
      </c>
      <c r="D7" s="13" t="s">
        <v>19</v>
      </c>
      <c r="E7" s="21" t="s">
        <v>253</v>
      </c>
      <c r="F7" t="str">
        <f>_xlfn.CONCAT("update routes set important=true where (departure_airport='",A7,"' and arrival_airport='",B7,"') or (departure_airport='",B7,"' and arrival_airport='",A7,"');")</f>
        <v>update routes set important=true where (departure_airport='CAI' and arrival_airport='JED') or (departure_airport='JED' and arrival_airport='CAI');</v>
      </c>
    </row>
    <row r="8" spans="1:6" ht="15" x14ac:dyDescent="0.2">
      <c r="A8" t="str">
        <f t="shared" ref="A8:A71" si="0">MID(C8,1,3)</f>
        <v>CAI</v>
      </c>
      <c r="B8" t="str">
        <f t="shared" ref="B8:B71" si="1">MID(C8,5,6)</f>
        <v>RUH</v>
      </c>
      <c r="C8" s="13" t="s">
        <v>39</v>
      </c>
      <c r="D8" s="13" t="s">
        <v>40</v>
      </c>
      <c r="E8" s="21" t="s">
        <v>253</v>
      </c>
      <c r="F8" t="str">
        <f t="shared" ref="F8:F71" si="2">_xlfn.CONCAT("update routes set important=true where (departure_airport='",A8,"' and arrival_airport='",B8,"') or (departure_airport='",B8,"' and arrival_airport='",A8,"');")</f>
        <v>update routes set important=true where (departure_airport='CAI' and arrival_airport='RUH') or (departure_airport='RUH' and arrival_airport='CAI');</v>
      </c>
    </row>
    <row r="9" spans="1:6" ht="15" x14ac:dyDescent="0.2">
      <c r="A9" t="str">
        <f t="shared" si="0"/>
        <v>CAI</v>
      </c>
      <c r="B9" t="str">
        <f t="shared" si="1"/>
        <v>DXB</v>
      </c>
      <c r="C9" s="13" t="s">
        <v>41</v>
      </c>
      <c r="D9" s="13" t="s">
        <v>42</v>
      </c>
      <c r="E9" s="21" t="s">
        <v>253</v>
      </c>
      <c r="F9" t="str">
        <f t="shared" si="2"/>
        <v>update routes set important=true where (departure_airport='CAI' and arrival_airport='DXB') or (departure_airport='DXB' and arrival_airport='CAI');</v>
      </c>
    </row>
    <row r="10" spans="1:6" ht="15" x14ac:dyDescent="0.2">
      <c r="A10" t="str">
        <f t="shared" si="0"/>
        <v>CAI</v>
      </c>
      <c r="B10" t="str">
        <f t="shared" si="1"/>
        <v>MED</v>
      </c>
      <c r="C10" s="13" t="s">
        <v>43</v>
      </c>
      <c r="D10" s="13" t="s">
        <v>44</v>
      </c>
      <c r="E10" s="21" t="s">
        <v>253</v>
      </c>
      <c r="F10" t="str">
        <f t="shared" si="2"/>
        <v>update routes set important=true where (departure_airport='CAI' and arrival_airport='MED') or (departure_airport='MED' and arrival_airport='CAI');</v>
      </c>
    </row>
    <row r="11" spans="1:6" ht="15" x14ac:dyDescent="0.2">
      <c r="A11" t="str">
        <f t="shared" si="0"/>
        <v>CAI</v>
      </c>
      <c r="B11" t="str">
        <f t="shared" si="1"/>
        <v>KWI</v>
      </c>
      <c r="C11" s="13" t="s">
        <v>45</v>
      </c>
      <c r="D11" s="13" t="s">
        <v>46</v>
      </c>
      <c r="E11" s="21" t="s">
        <v>253</v>
      </c>
      <c r="F11" t="str">
        <f t="shared" si="2"/>
        <v>update routes set important=true where (departure_airport='CAI' and arrival_airport='KWI') or (departure_airport='KWI' and arrival_airport='CAI');</v>
      </c>
    </row>
    <row r="12" spans="1:6" ht="15" x14ac:dyDescent="0.2">
      <c r="A12" t="str">
        <f t="shared" si="0"/>
        <v>ALG</v>
      </c>
      <c r="B12" t="str">
        <f t="shared" si="1"/>
        <v>CDG</v>
      </c>
      <c r="C12" s="13" t="s">
        <v>47</v>
      </c>
      <c r="D12" s="13" t="s">
        <v>48</v>
      </c>
      <c r="E12" s="21" t="s">
        <v>253</v>
      </c>
      <c r="F12" t="str">
        <f t="shared" si="2"/>
        <v>update routes set important=true where (departure_airport='ALG' and arrival_airport='CDG') or (departure_airport='CDG' and arrival_airport='ALG');</v>
      </c>
    </row>
    <row r="13" spans="1:6" ht="15" x14ac:dyDescent="0.2">
      <c r="A13" t="str">
        <f t="shared" si="0"/>
        <v>ADD</v>
      </c>
      <c r="B13" t="str">
        <f t="shared" si="1"/>
        <v>DXB</v>
      </c>
      <c r="C13" s="13" t="s">
        <v>49</v>
      </c>
      <c r="D13" s="13" t="s">
        <v>50</v>
      </c>
      <c r="E13" s="21" t="s">
        <v>253</v>
      </c>
      <c r="F13" t="str">
        <f t="shared" si="2"/>
        <v>update routes set important=true where (departure_airport='ADD' and arrival_airport='DXB') or (departure_airport='DXB' and arrival_airport='ADD');</v>
      </c>
    </row>
    <row r="14" spans="1:6" ht="15" x14ac:dyDescent="0.2">
      <c r="A14" t="str">
        <f t="shared" si="0"/>
        <v>ORY</v>
      </c>
      <c r="B14" t="str">
        <f t="shared" si="1"/>
        <v>RUN</v>
      </c>
      <c r="C14" s="13" t="s">
        <v>51</v>
      </c>
      <c r="D14" s="13" t="s">
        <v>52</v>
      </c>
      <c r="E14" s="21" t="s">
        <v>253</v>
      </c>
      <c r="F14" t="str">
        <f t="shared" si="2"/>
        <v>update routes set important=true where (departure_airport='ORY' and arrival_airport='RUN') or (departure_airport='RUN' and arrival_airport='ORY');</v>
      </c>
    </row>
    <row r="15" spans="1:6" ht="15" x14ac:dyDescent="0.2">
      <c r="A15" t="str">
        <f t="shared" si="0"/>
        <v>CAI</v>
      </c>
      <c r="B15" t="str">
        <f t="shared" si="1"/>
        <v>DOH</v>
      </c>
      <c r="C15" s="13" t="s">
        <v>53</v>
      </c>
      <c r="D15" s="13" t="s">
        <v>54</v>
      </c>
      <c r="E15" s="21" t="s">
        <v>253</v>
      </c>
      <c r="F15" t="str">
        <f t="shared" si="2"/>
        <v>update routes set important=true where (departure_airport='CAI' and arrival_airport='DOH') or (departure_airport='DOH' and arrival_airport='CAI');</v>
      </c>
    </row>
    <row r="16" spans="1:6" ht="15" x14ac:dyDescent="0.2">
      <c r="A16" t="str">
        <f t="shared" si="0"/>
        <v>ALG</v>
      </c>
      <c r="B16" t="str">
        <f t="shared" si="1"/>
        <v>ORY</v>
      </c>
      <c r="C16" s="13" t="s">
        <v>55</v>
      </c>
      <c r="D16" s="13" t="s">
        <v>56</v>
      </c>
      <c r="E16" s="21" t="s">
        <v>253</v>
      </c>
      <c r="F16" t="str">
        <f t="shared" si="2"/>
        <v>update routes set important=true where (departure_airport='ALG' and arrival_airport='ORY') or (departure_airport='ORY' and arrival_airport='ALG');</v>
      </c>
    </row>
    <row r="17" spans="1:6" ht="15" x14ac:dyDescent="0.2">
      <c r="A17" t="str">
        <f t="shared" si="0"/>
        <v>HKG</v>
      </c>
      <c r="B17" t="str">
        <f t="shared" si="1"/>
        <v>TPE</v>
      </c>
      <c r="C17" s="13" t="s">
        <v>16</v>
      </c>
      <c r="D17" s="13" t="s">
        <v>17</v>
      </c>
      <c r="E17" s="21" t="s">
        <v>253</v>
      </c>
      <c r="F17" t="str">
        <f t="shared" si="2"/>
        <v>update routes set important=true where (departure_airport='HKG' and arrival_airport='TPE') or (departure_airport='TPE' and arrival_airport='HKG');</v>
      </c>
    </row>
    <row r="18" spans="1:6" ht="15" x14ac:dyDescent="0.2">
      <c r="A18" t="str">
        <f t="shared" si="0"/>
        <v>ICN</v>
      </c>
      <c r="B18" t="str">
        <f t="shared" si="1"/>
        <v>NRT</v>
      </c>
      <c r="C18" s="13" t="s">
        <v>20</v>
      </c>
      <c r="D18" s="13" t="s">
        <v>21</v>
      </c>
      <c r="E18" s="21" t="s">
        <v>253</v>
      </c>
      <c r="F18" t="str">
        <f t="shared" si="2"/>
        <v>update routes set important=true where (departure_airport='ICN' and arrival_airport='NRT') or (departure_airport='NRT' and arrival_airport='ICN');</v>
      </c>
    </row>
    <row r="19" spans="1:6" ht="15" x14ac:dyDescent="0.2">
      <c r="A19" t="str">
        <f t="shared" si="0"/>
        <v>KUL</v>
      </c>
      <c r="B19" t="str">
        <f t="shared" si="1"/>
        <v>SIN</v>
      </c>
      <c r="C19" s="13" t="s">
        <v>22</v>
      </c>
      <c r="D19" s="13" t="s">
        <v>23</v>
      </c>
      <c r="E19" s="21" t="s">
        <v>253</v>
      </c>
      <c r="F19" t="str">
        <f t="shared" si="2"/>
        <v>update routes set important=true where (departure_airport='KUL' and arrival_airport='SIN') or (departure_airport='SIN' and arrival_airport='KUL');</v>
      </c>
    </row>
    <row r="20" spans="1:6" ht="15" x14ac:dyDescent="0.2">
      <c r="A20" t="str">
        <f t="shared" si="0"/>
        <v>ICN</v>
      </c>
      <c r="B20" t="str">
        <f t="shared" si="1"/>
        <v>KIX</v>
      </c>
      <c r="C20" s="13" t="s">
        <v>24</v>
      </c>
      <c r="D20" s="13" t="s">
        <v>25</v>
      </c>
      <c r="E20" s="21" t="s">
        <v>253</v>
      </c>
      <c r="F20" t="str">
        <f t="shared" si="2"/>
        <v>update routes set important=true where (departure_airport='ICN' and arrival_airport='KIX') or (departure_airport='KIX' and arrival_airport='ICN');</v>
      </c>
    </row>
    <row r="21" spans="1:6" ht="15" x14ac:dyDescent="0.2">
      <c r="A21" t="str">
        <f t="shared" si="0"/>
        <v>BKK</v>
      </c>
      <c r="B21" t="str">
        <f t="shared" si="1"/>
        <v>HKG</v>
      </c>
      <c r="C21" s="13" t="s">
        <v>29</v>
      </c>
      <c r="D21" s="13" t="s">
        <v>30</v>
      </c>
      <c r="E21" s="21" t="s">
        <v>253</v>
      </c>
      <c r="F21" t="str">
        <f t="shared" si="2"/>
        <v>update routes set important=true where (departure_airport='BKK' and arrival_airport='HKG') or (departure_airport='HKG' and arrival_airport='BKK');</v>
      </c>
    </row>
    <row r="22" spans="1:6" ht="15" x14ac:dyDescent="0.2">
      <c r="A22" t="str">
        <f t="shared" si="0"/>
        <v>CGK</v>
      </c>
      <c r="B22" t="str">
        <f t="shared" si="1"/>
        <v>SIN</v>
      </c>
      <c r="C22" s="13" t="s">
        <v>31</v>
      </c>
      <c r="D22" s="13" t="s">
        <v>32</v>
      </c>
      <c r="E22" s="21" t="s">
        <v>253</v>
      </c>
      <c r="F22" t="str">
        <f t="shared" si="2"/>
        <v>update routes set important=true where (departure_airport='CGK' and arrival_airport='SIN') or (departure_airport='SIN' and arrival_airport='CGK');</v>
      </c>
    </row>
    <row r="23" spans="1:6" ht="15" x14ac:dyDescent="0.2">
      <c r="A23" t="str">
        <f t="shared" si="0"/>
        <v>BKK</v>
      </c>
      <c r="B23" t="str">
        <f t="shared" si="1"/>
        <v>SIN</v>
      </c>
      <c r="C23" s="13" t="s">
        <v>33</v>
      </c>
      <c r="D23" s="13" t="s">
        <v>34</v>
      </c>
      <c r="E23" s="21" t="s">
        <v>253</v>
      </c>
      <c r="F23" t="str">
        <f t="shared" si="2"/>
        <v>update routes set important=true where (departure_airport='BKK' and arrival_airport='SIN') or (departure_airport='SIN' and arrival_airport='BKK');</v>
      </c>
    </row>
    <row r="24" spans="1:6" ht="15" x14ac:dyDescent="0.2">
      <c r="A24" t="str">
        <f t="shared" si="0"/>
        <v>NRT</v>
      </c>
      <c r="B24" t="str">
        <f t="shared" si="1"/>
        <v>TPE</v>
      </c>
      <c r="C24" s="13" t="s">
        <v>58</v>
      </c>
      <c r="D24" s="13" t="s">
        <v>59</v>
      </c>
      <c r="E24" s="21" t="s">
        <v>253</v>
      </c>
      <c r="F24" t="str">
        <f t="shared" si="2"/>
        <v>update routes set important=true where (departure_airport='NRT' and arrival_airport='TPE') or (departure_airport='TPE' and arrival_airport='NRT');</v>
      </c>
    </row>
    <row r="25" spans="1:6" ht="15" x14ac:dyDescent="0.2">
      <c r="A25" t="str">
        <f t="shared" si="0"/>
        <v>FUK</v>
      </c>
      <c r="B25" t="str">
        <f t="shared" si="1"/>
        <v>ICN</v>
      </c>
      <c r="C25" s="13" t="s">
        <v>60</v>
      </c>
      <c r="D25" s="13" t="s">
        <v>61</v>
      </c>
      <c r="E25" s="21" t="s">
        <v>253</v>
      </c>
      <c r="F25" t="str">
        <f t="shared" si="2"/>
        <v>update routes set important=true where (departure_airport='FUK' and arrival_airport='ICN') or (departure_airport='ICN' and arrival_airport='FUK');</v>
      </c>
    </row>
    <row r="26" spans="1:6" ht="15" x14ac:dyDescent="0.2">
      <c r="A26" t="str">
        <f t="shared" si="0"/>
        <v>CGK</v>
      </c>
      <c r="B26" t="str">
        <f t="shared" si="1"/>
        <v>KUL</v>
      </c>
      <c r="C26" s="13" t="s">
        <v>62</v>
      </c>
      <c r="D26" s="13" t="s">
        <v>63</v>
      </c>
      <c r="E26" s="21" t="s">
        <v>253</v>
      </c>
      <c r="F26" t="str">
        <f t="shared" si="2"/>
        <v>update routes set important=true where (departure_airport='CGK' and arrival_airport='KUL') or (departure_airport='KUL' and arrival_airport='CGK');</v>
      </c>
    </row>
    <row r="27" spans="1:6" ht="15" x14ac:dyDescent="0.2">
      <c r="A27" t="str">
        <f t="shared" si="0"/>
        <v>JFK</v>
      </c>
      <c r="B27" t="str">
        <f t="shared" si="1"/>
        <v>LHR</v>
      </c>
      <c r="C27" s="13" t="s">
        <v>35</v>
      </c>
      <c r="D27" s="13" t="s">
        <v>36</v>
      </c>
      <c r="E27" s="21" t="s">
        <v>253</v>
      </c>
      <c r="F27" t="str">
        <f t="shared" si="2"/>
        <v>update routes set important=true where (departure_airport='JFK' and arrival_airport='LHR') or (departure_airport='LHR' and arrival_airport='JFK');</v>
      </c>
    </row>
    <row r="28" spans="1:6" ht="15" x14ac:dyDescent="0.2">
      <c r="A28" t="str">
        <f t="shared" si="0"/>
        <v>DXB</v>
      </c>
      <c r="B28" t="str">
        <f t="shared" si="1"/>
        <v>LHR</v>
      </c>
      <c r="C28" s="13" t="s">
        <v>65</v>
      </c>
      <c r="D28" s="13" t="s">
        <v>66</v>
      </c>
      <c r="E28" s="21" t="s">
        <v>253</v>
      </c>
      <c r="F28" t="str">
        <f t="shared" si="2"/>
        <v>update routes set important=true where (departure_airport='DXB' and arrival_airport='LHR') or (departure_airport='LHR' and arrival_airport='DXB');</v>
      </c>
    </row>
    <row r="29" spans="1:6" ht="15" x14ac:dyDescent="0.2">
      <c r="A29" t="str">
        <f t="shared" si="0"/>
        <v>FCO</v>
      </c>
      <c r="B29" t="str">
        <f t="shared" si="1"/>
        <v>MAD</v>
      </c>
      <c r="C29" s="13" t="s">
        <v>67</v>
      </c>
      <c r="D29" s="13" t="s">
        <v>68</v>
      </c>
      <c r="E29" s="21" t="s">
        <v>253</v>
      </c>
      <c r="F29" t="str">
        <f t="shared" si="2"/>
        <v>update routes set important=true where (departure_airport='FCO' and arrival_airport='MAD') or (departure_airport='MAD' and arrival_airport='FCO');</v>
      </c>
    </row>
    <row r="30" spans="1:6" ht="15" x14ac:dyDescent="0.2">
      <c r="A30" t="str">
        <f t="shared" si="0"/>
        <v>DUB</v>
      </c>
      <c r="B30" t="str">
        <f t="shared" si="1"/>
        <v>LHR</v>
      </c>
      <c r="C30" s="13" t="s">
        <v>69</v>
      </c>
      <c r="D30" s="13" t="s">
        <v>70</v>
      </c>
      <c r="E30" s="21" t="s">
        <v>253</v>
      </c>
      <c r="F30" t="str">
        <f t="shared" si="2"/>
        <v>update routes set important=true where (departure_airport='DUB' and arrival_airport='LHR') or (departure_airport='LHR' and arrival_airport='DUB');</v>
      </c>
    </row>
    <row r="31" spans="1:6" ht="15" x14ac:dyDescent="0.2">
      <c r="A31" t="str">
        <f t="shared" si="0"/>
        <v>LIS</v>
      </c>
      <c r="B31" t="str">
        <f t="shared" si="1"/>
        <v>MAD</v>
      </c>
      <c r="C31" s="13" t="s">
        <v>71</v>
      </c>
      <c r="D31" s="13" t="s">
        <v>72</v>
      </c>
      <c r="E31" s="21" t="s">
        <v>253</v>
      </c>
      <c r="F31" t="str">
        <f t="shared" si="2"/>
        <v>update routes set important=true where (departure_airport='LIS' and arrival_airport='MAD') or (departure_airport='MAD' and arrival_airport='LIS');</v>
      </c>
    </row>
    <row r="32" spans="1:6" ht="15" x14ac:dyDescent="0.2">
      <c r="A32" t="str">
        <f t="shared" si="0"/>
        <v>DOH</v>
      </c>
      <c r="B32" t="str">
        <f t="shared" si="1"/>
        <v>LHR</v>
      </c>
      <c r="C32" s="13" t="s">
        <v>73</v>
      </c>
      <c r="D32" s="13" t="s">
        <v>74</v>
      </c>
      <c r="E32" s="21" t="s">
        <v>253</v>
      </c>
      <c r="F32" t="str">
        <f t="shared" si="2"/>
        <v>update routes set important=true where (departure_airport='DOH' and arrival_airport='LHR') or (departure_airport='LHR' and arrival_airport='DOH');</v>
      </c>
    </row>
    <row r="33" spans="1:6" ht="15" x14ac:dyDescent="0.2">
      <c r="A33" t="str">
        <f t="shared" si="0"/>
        <v>LAX</v>
      </c>
      <c r="B33" t="str">
        <f t="shared" si="1"/>
        <v>LHR</v>
      </c>
      <c r="C33" s="13" t="s">
        <v>75</v>
      </c>
      <c r="D33" s="13" t="s">
        <v>76</v>
      </c>
      <c r="E33" s="21" t="s">
        <v>253</v>
      </c>
      <c r="F33" t="str">
        <f t="shared" si="2"/>
        <v>update routes set important=true where (departure_airport='LAX' and arrival_airport='LHR') or (departure_airport='LHR' and arrival_airport='LAX');</v>
      </c>
    </row>
    <row r="34" spans="1:6" ht="15" x14ac:dyDescent="0.2">
      <c r="A34" t="str">
        <f t="shared" si="0"/>
        <v>CDG</v>
      </c>
      <c r="B34" t="str">
        <f t="shared" si="1"/>
        <v>JFK</v>
      </c>
      <c r="C34" s="13" t="s">
        <v>77</v>
      </c>
      <c r="D34" s="13" t="s">
        <v>78</v>
      </c>
      <c r="E34" s="21" t="s">
        <v>253</v>
      </c>
      <c r="F34" t="str">
        <f t="shared" si="2"/>
        <v>update routes set important=true where (departure_airport='CDG' and arrival_airport='JFK') or (departure_airport='JFK' and arrival_airport='CDG');</v>
      </c>
    </row>
    <row r="35" spans="1:6" ht="15" x14ac:dyDescent="0.2">
      <c r="A35" t="str">
        <f t="shared" si="0"/>
        <v>DXB</v>
      </c>
      <c r="B35" t="str">
        <f t="shared" si="1"/>
        <v>IST</v>
      </c>
      <c r="C35" s="13" t="s">
        <v>79</v>
      </c>
      <c r="D35" s="13" t="s">
        <v>80</v>
      </c>
      <c r="E35" s="21" t="s">
        <v>253</v>
      </c>
      <c r="F35" t="str">
        <f t="shared" si="2"/>
        <v>update routes set important=true where (departure_airport='DXB' and arrival_airport='IST') or (departure_airport='IST' and arrival_airport='DXB');</v>
      </c>
    </row>
    <row r="36" spans="1:6" ht="15" x14ac:dyDescent="0.2">
      <c r="A36" t="str">
        <f t="shared" si="0"/>
        <v>FRA</v>
      </c>
      <c r="B36" t="str">
        <f t="shared" si="1"/>
        <v>LHR</v>
      </c>
      <c r="C36" s="13" t="s">
        <v>81</v>
      </c>
      <c r="D36" s="13" t="s">
        <v>82</v>
      </c>
      <c r="E36" s="21" t="s">
        <v>253</v>
      </c>
      <c r="F36" t="str">
        <f t="shared" si="2"/>
        <v>update routes set important=true where (departure_airport='FRA' and arrival_airport='LHR') or (departure_airport='LHR' and arrival_airport='FRA');</v>
      </c>
    </row>
    <row r="37" spans="1:6" ht="15" x14ac:dyDescent="0.2">
      <c r="A37" t="str">
        <f t="shared" si="0"/>
        <v>MCO</v>
      </c>
      <c r="B37" t="str">
        <f t="shared" si="1"/>
        <v>SJU</v>
      </c>
      <c r="C37" s="13" t="s">
        <v>84</v>
      </c>
      <c r="D37" s="13" t="s">
        <v>85</v>
      </c>
      <c r="E37" s="21" t="s">
        <v>253</v>
      </c>
      <c r="F37" t="str">
        <f t="shared" si="2"/>
        <v>update routes set important=true where (departure_airport='MCO' and arrival_airport='SJU') or (departure_airport='SJU' and arrival_airport='MCO');</v>
      </c>
    </row>
    <row r="38" spans="1:6" ht="15" x14ac:dyDescent="0.2">
      <c r="A38" t="str">
        <f t="shared" si="0"/>
        <v>LIM</v>
      </c>
      <c r="B38" t="str">
        <f t="shared" si="1"/>
        <v>SCL</v>
      </c>
      <c r="C38" s="13" t="s">
        <v>86</v>
      </c>
      <c r="D38" s="13" t="s">
        <v>87</v>
      </c>
      <c r="E38" s="21" t="s">
        <v>253</v>
      </c>
      <c r="F38" t="str">
        <f t="shared" si="2"/>
        <v>update routes set important=true where (departure_airport='LIM' and arrival_airport='SCL') or (departure_airport='SCL' and arrival_airport='LIM');</v>
      </c>
    </row>
    <row r="39" spans="1:6" ht="15" x14ac:dyDescent="0.2">
      <c r="A39" t="str">
        <f t="shared" si="0"/>
        <v>BOG</v>
      </c>
      <c r="B39" t="str">
        <f t="shared" si="1"/>
        <v>MAD</v>
      </c>
      <c r="C39" s="13" t="s">
        <v>88</v>
      </c>
      <c r="D39" s="13" t="s">
        <v>89</v>
      </c>
      <c r="E39" s="21" t="s">
        <v>253</v>
      </c>
      <c r="F39" t="str">
        <f t="shared" si="2"/>
        <v>update routes set important=true where (departure_airport='BOG' and arrival_airport='MAD') or (departure_airport='MAD' and arrival_airport='BOG');</v>
      </c>
    </row>
    <row r="40" spans="1:6" ht="15" x14ac:dyDescent="0.2">
      <c r="A40" t="str">
        <f t="shared" si="0"/>
        <v>GRU</v>
      </c>
      <c r="B40" t="str">
        <f t="shared" si="1"/>
        <v>SCL</v>
      </c>
      <c r="C40" s="13" t="s">
        <v>90</v>
      </c>
      <c r="D40" s="13" t="s">
        <v>91</v>
      </c>
      <c r="E40" s="21" t="s">
        <v>253</v>
      </c>
      <c r="F40" t="str">
        <f t="shared" si="2"/>
        <v>update routes set important=true where (departure_airport='GRU' and arrival_airport='SCL') or (departure_airport='SCL' and arrival_airport='GRU');</v>
      </c>
    </row>
    <row r="41" spans="1:6" ht="15" x14ac:dyDescent="0.2">
      <c r="A41" t="str">
        <f t="shared" si="0"/>
        <v>JFK</v>
      </c>
      <c r="B41" t="str">
        <f t="shared" si="1"/>
        <v>SJU</v>
      </c>
      <c r="C41" s="13" t="s">
        <v>92</v>
      </c>
      <c r="D41" s="13" t="s">
        <v>93</v>
      </c>
      <c r="E41" s="21" t="s">
        <v>253</v>
      </c>
      <c r="F41" t="str">
        <f t="shared" si="2"/>
        <v>update routes set important=true where (departure_airport='JFK' and arrival_airport='SJU') or (departure_airport='SJU' and arrival_airport='JFK');</v>
      </c>
    </row>
    <row r="42" spans="1:6" ht="15" x14ac:dyDescent="0.2">
      <c r="A42" t="str">
        <f t="shared" si="0"/>
        <v>CUN</v>
      </c>
      <c r="B42" t="str">
        <f t="shared" si="1"/>
        <v>DFW</v>
      </c>
      <c r="C42" s="13" t="s">
        <v>94</v>
      </c>
      <c r="D42" s="13" t="s">
        <v>95</v>
      </c>
      <c r="E42" s="21" t="s">
        <v>253</v>
      </c>
      <c r="F42" t="str">
        <f t="shared" si="2"/>
        <v>update routes set important=true where (departure_airport='CUN' and arrival_airport='DFW') or (departure_airport='DFW' and arrival_airport='CUN');</v>
      </c>
    </row>
    <row r="43" spans="1:6" ht="15" x14ac:dyDescent="0.2">
      <c r="A43" t="str">
        <f t="shared" si="0"/>
        <v>BOG</v>
      </c>
      <c r="B43" t="str">
        <f t="shared" si="1"/>
        <v>PTY</v>
      </c>
      <c r="C43" s="13" t="s">
        <v>96</v>
      </c>
      <c r="D43" s="13" t="s">
        <v>97</v>
      </c>
      <c r="E43" s="21" t="s">
        <v>253</v>
      </c>
      <c r="F43" t="str">
        <f t="shared" si="2"/>
        <v>update routes set important=true where (departure_airport='BOG' and arrival_airport='PTY') or (departure_airport='PTY' and arrival_airport='BOG');</v>
      </c>
    </row>
    <row r="44" spans="1:6" ht="15" x14ac:dyDescent="0.2">
      <c r="A44" t="str">
        <f t="shared" si="0"/>
        <v>CUN</v>
      </c>
      <c r="B44" t="str">
        <f t="shared" si="1"/>
        <v>YYZ</v>
      </c>
      <c r="C44" s="13" t="s">
        <v>98</v>
      </c>
      <c r="D44" s="13" t="s">
        <v>99</v>
      </c>
      <c r="E44" s="21" t="s">
        <v>253</v>
      </c>
      <c r="F44" t="str">
        <f t="shared" si="2"/>
        <v>update routes set important=true where (departure_airport='CUN' and arrival_airport='YYZ') or (departure_airport='YYZ' and arrival_airport='CUN');</v>
      </c>
    </row>
    <row r="45" spans="1:6" ht="15" x14ac:dyDescent="0.2">
      <c r="A45" t="str">
        <f t="shared" si="0"/>
        <v>AEP</v>
      </c>
      <c r="B45" t="str">
        <f t="shared" si="1"/>
        <v>GRU</v>
      </c>
      <c r="C45" s="13" t="s">
        <v>100</v>
      </c>
      <c r="D45" s="13" t="s">
        <v>101</v>
      </c>
      <c r="E45" s="21" t="s">
        <v>253</v>
      </c>
      <c r="F45" t="str">
        <f t="shared" si="2"/>
        <v>update routes set important=true where (departure_airport='AEP' and arrival_airport='GRU') or (departure_airport='GRU' and arrival_airport='AEP');</v>
      </c>
    </row>
    <row r="46" spans="1:6" ht="15" x14ac:dyDescent="0.2">
      <c r="A46" t="str">
        <f t="shared" si="0"/>
        <v>GDL</v>
      </c>
      <c r="B46" t="str">
        <f t="shared" si="1"/>
        <v>LAX</v>
      </c>
      <c r="C46" s="13" t="s">
        <v>102</v>
      </c>
      <c r="D46" s="13" t="s">
        <v>103</v>
      </c>
      <c r="E46" s="21" t="s">
        <v>253</v>
      </c>
      <c r="F46" t="str">
        <f t="shared" si="2"/>
        <v>update routes set important=true where (departure_airport='GDL' and arrival_airport='LAX') or (departure_airport='LAX' and arrival_airport='GDL');</v>
      </c>
    </row>
    <row r="47" spans="1:6" ht="15" x14ac:dyDescent="0.2">
      <c r="A47" t="str">
        <f t="shared" si="0"/>
        <v>DXB</v>
      </c>
      <c r="B47" t="str">
        <f t="shared" si="1"/>
        <v>RUH</v>
      </c>
      <c r="C47" s="13" t="s">
        <v>27</v>
      </c>
      <c r="D47" s="13" t="s">
        <v>28</v>
      </c>
      <c r="E47" s="21" t="s">
        <v>253</v>
      </c>
      <c r="F47" t="str">
        <f t="shared" si="2"/>
        <v>update routes set important=true where (departure_airport='DXB' and arrival_airport='RUH') or (departure_airport='RUH' and arrival_airport='DXB');</v>
      </c>
    </row>
    <row r="48" spans="1:6" ht="15" x14ac:dyDescent="0.2">
      <c r="A48" t="str">
        <f t="shared" si="0"/>
        <v>DXB</v>
      </c>
      <c r="B48" t="str">
        <f t="shared" si="1"/>
        <v>JED</v>
      </c>
      <c r="C48" s="13" t="s">
        <v>105</v>
      </c>
      <c r="D48" s="13" t="s">
        <v>106</v>
      </c>
      <c r="E48" s="21" t="s">
        <v>253</v>
      </c>
      <c r="F48" t="str">
        <f t="shared" si="2"/>
        <v>update routes set important=true where (departure_airport='DXB' and arrival_airport='JED') or (departure_airport='JED' and arrival_airport='DXB');</v>
      </c>
    </row>
    <row r="49" spans="1:6" ht="15" x14ac:dyDescent="0.2">
      <c r="A49" t="str">
        <f t="shared" si="0"/>
        <v>BOM</v>
      </c>
      <c r="B49" t="str">
        <f t="shared" si="1"/>
        <v>DXB</v>
      </c>
      <c r="C49" s="13" t="s">
        <v>107</v>
      </c>
      <c r="D49" s="13" t="s">
        <v>108</v>
      </c>
      <c r="E49" s="21" t="s">
        <v>253</v>
      </c>
      <c r="F49" t="str">
        <f t="shared" si="2"/>
        <v>update routes set important=true where (departure_airport='BOM' and arrival_airport='DXB') or (departure_airport='DXB' and arrival_airport='BOM');</v>
      </c>
    </row>
    <row r="50" spans="1:6" ht="15" x14ac:dyDescent="0.2">
      <c r="A50" t="str">
        <f t="shared" si="0"/>
        <v>DXB</v>
      </c>
      <c r="B50" t="str">
        <f t="shared" si="1"/>
        <v>KWI</v>
      </c>
      <c r="C50" s="13" t="s">
        <v>109</v>
      </c>
      <c r="D50" s="13" t="s">
        <v>110</v>
      </c>
      <c r="E50" s="21" t="s">
        <v>253</v>
      </c>
      <c r="F50" t="str">
        <f t="shared" si="2"/>
        <v>update routes set important=true where (departure_airport='DXB' and arrival_airport='KWI') or (departure_airport='KWI' and arrival_airport='DXB');</v>
      </c>
    </row>
    <row r="51" spans="1:6" ht="15" x14ac:dyDescent="0.2">
      <c r="A51" t="str">
        <f t="shared" si="0"/>
        <v>DEL</v>
      </c>
      <c r="B51" t="str">
        <f t="shared" si="1"/>
        <v>DXB</v>
      </c>
      <c r="C51" s="13" t="s">
        <v>111</v>
      </c>
      <c r="D51" s="13" t="s">
        <v>112</v>
      </c>
      <c r="E51" s="21" t="s">
        <v>253</v>
      </c>
      <c r="F51" t="str">
        <f t="shared" si="2"/>
        <v>update routes set important=true where (departure_airport='DEL' and arrival_airport='DXB') or (departure_airport='DXB' and arrival_airport='DEL');</v>
      </c>
    </row>
    <row r="52" spans="1:6" ht="15" x14ac:dyDescent="0.2">
      <c r="A52" t="str">
        <f t="shared" si="0"/>
        <v>BAH</v>
      </c>
      <c r="B52" t="str">
        <f t="shared" si="1"/>
        <v>DXB</v>
      </c>
      <c r="C52" s="13" t="s">
        <v>113</v>
      </c>
      <c r="D52" s="13" t="s">
        <v>114</v>
      </c>
      <c r="E52" s="21" t="s">
        <v>253</v>
      </c>
      <c r="F52" t="str">
        <f t="shared" si="2"/>
        <v>update routes set important=true where (departure_airport='BAH' and arrival_airport='DXB') or (departure_airport='DXB' and arrival_airport='BAH');</v>
      </c>
    </row>
    <row r="53" spans="1:6" ht="15" x14ac:dyDescent="0.2">
      <c r="A53" t="str">
        <f t="shared" si="0"/>
        <v>SFO</v>
      </c>
      <c r="B53" t="str">
        <f t="shared" si="1"/>
        <v>TPE</v>
      </c>
      <c r="C53" s="13" t="s">
        <v>116</v>
      </c>
      <c r="D53" s="13" t="s">
        <v>117</v>
      </c>
      <c r="E53" s="21" t="s">
        <v>253</v>
      </c>
      <c r="F53" t="str">
        <f t="shared" si="2"/>
        <v>update routes set important=true where (departure_airport='SFO' and arrival_airport='TPE') or (departure_airport='TPE' and arrival_airport='SFO');</v>
      </c>
    </row>
    <row r="54" spans="1:6" ht="15" x14ac:dyDescent="0.2">
      <c r="A54" t="str">
        <f t="shared" si="0"/>
        <v>CDG</v>
      </c>
      <c r="B54" t="str">
        <f t="shared" si="1"/>
        <v>YUL</v>
      </c>
      <c r="C54" s="13" t="s">
        <v>118</v>
      </c>
      <c r="D54" s="13" t="s">
        <v>119</v>
      </c>
      <c r="E54" s="21" t="s">
        <v>253</v>
      </c>
      <c r="F54" t="str">
        <f t="shared" si="2"/>
        <v>update routes set important=true where (departure_airport='CDG' and arrival_airport='YUL') or (departure_airport='YUL' and arrival_airport='CDG');</v>
      </c>
    </row>
    <row r="55" spans="1:6" ht="15" x14ac:dyDescent="0.2">
      <c r="A55" t="str">
        <f t="shared" si="0"/>
        <v>ICN</v>
      </c>
      <c r="B55" t="str">
        <f t="shared" si="1"/>
        <v>LAX</v>
      </c>
      <c r="C55" s="13" t="s">
        <v>120</v>
      </c>
      <c r="D55" s="13" t="s">
        <v>121</v>
      </c>
      <c r="E55" s="21" t="s">
        <v>253</v>
      </c>
      <c r="F55" t="str">
        <f t="shared" si="2"/>
        <v>update routes set important=true where (departure_airport='ICN' and arrival_airport='LAX') or (departure_airport='LAX' and arrival_airport='ICN');</v>
      </c>
    </row>
    <row r="56" spans="1:6" ht="15" x14ac:dyDescent="0.2">
      <c r="A56" t="str">
        <f t="shared" si="0"/>
        <v>LHR</v>
      </c>
      <c r="B56" t="str">
        <f t="shared" si="1"/>
        <v>ORD</v>
      </c>
      <c r="C56" s="13" t="s">
        <v>122</v>
      </c>
      <c r="D56" s="13" t="s">
        <v>123</v>
      </c>
      <c r="E56" s="21" t="s">
        <v>253</v>
      </c>
      <c r="F56" t="str">
        <f t="shared" si="2"/>
        <v>update routes set important=true where (departure_airport='LHR' and arrival_airport='ORD') or (departure_airport='ORD' and arrival_airport='LHR');</v>
      </c>
    </row>
    <row r="57" spans="1:6" ht="15" x14ac:dyDescent="0.2">
      <c r="A57" t="str">
        <f t="shared" si="0"/>
        <v>CPT</v>
      </c>
      <c r="B57" t="str">
        <f t="shared" si="1"/>
        <v>JNB</v>
      </c>
      <c r="C57" s="13" t="s">
        <v>146</v>
      </c>
      <c r="D57" s="13" t="s">
        <v>147</v>
      </c>
      <c r="E57" s="21" t="s">
        <v>254</v>
      </c>
      <c r="F57" t="str">
        <f t="shared" si="2"/>
        <v>update routes set important=true where (departure_airport='CPT' and arrival_airport='JNB') or (departure_airport='JNB' and arrival_airport='CPT');</v>
      </c>
    </row>
    <row r="58" spans="1:6" ht="15" x14ac:dyDescent="0.2">
      <c r="A58" t="str">
        <f t="shared" si="0"/>
        <v>DUR</v>
      </c>
      <c r="B58" t="str">
        <f t="shared" si="1"/>
        <v>JNB</v>
      </c>
      <c r="C58" s="13" t="s">
        <v>148</v>
      </c>
      <c r="D58" s="13" t="s">
        <v>149</v>
      </c>
      <c r="E58" s="21" t="s">
        <v>254</v>
      </c>
      <c r="F58" t="str">
        <f t="shared" si="2"/>
        <v>update routes set important=true where (departure_airport='DUR' and arrival_airport='JNB') or (departure_airport='JNB' and arrival_airport='DUR');</v>
      </c>
    </row>
    <row r="59" spans="1:6" ht="15" x14ac:dyDescent="0.2">
      <c r="A59" t="str">
        <f t="shared" si="0"/>
        <v>ABV</v>
      </c>
      <c r="B59" t="str">
        <f t="shared" si="1"/>
        <v>LOS</v>
      </c>
      <c r="C59" s="13" t="s">
        <v>150</v>
      </c>
      <c r="D59" s="13" t="s">
        <v>151</v>
      </c>
      <c r="E59" s="21" t="s">
        <v>254</v>
      </c>
      <c r="F59" t="str">
        <f t="shared" si="2"/>
        <v>update routes set important=true where (departure_airport='ABV' and arrival_airport='LOS') or (departure_airport='LOS' and arrival_airport='ABV');</v>
      </c>
    </row>
    <row r="60" spans="1:6" ht="15" x14ac:dyDescent="0.2">
      <c r="A60" t="str">
        <f t="shared" si="0"/>
        <v>CPT</v>
      </c>
      <c r="B60" t="str">
        <f t="shared" si="1"/>
        <v>DUR</v>
      </c>
      <c r="C60" s="13" t="s">
        <v>152</v>
      </c>
      <c r="D60" s="13" t="s">
        <v>153</v>
      </c>
      <c r="E60" s="21" t="s">
        <v>254</v>
      </c>
      <c r="F60" t="str">
        <f t="shared" si="2"/>
        <v>update routes set important=true where (departure_airport='CPT' and arrival_airport='DUR') or (departure_airport='DUR' and arrival_airport='CPT');</v>
      </c>
    </row>
    <row r="61" spans="1:6" ht="15" x14ac:dyDescent="0.2">
      <c r="A61" t="str">
        <f t="shared" si="0"/>
        <v>JNB</v>
      </c>
      <c r="B61" t="str">
        <f t="shared" si="1"/>
        <v>PLZ</v>
      </c>
      <c r="C61" s="13" t="s">
        <v>154</v>
      </c>
      <c r="D61" s="13" t="s">
        <v>155</v>
      </c>
      <c r="E61" s="21" t="s">
        <v>254</v>
      </c>
      <c r="F61" t="str">
        <f t="shared" si="2"/>
        <v>update routes set important=true where (departure_airport='JNB' and arrival_airport='PLZ') or (departure_airport='PLZ' and arrival_airport='JNB');</v>
      </c>
    </row>
    <row r="62" spans="1:6" ht="15" x14ac:dyDescent="0.2">
      <c r="A62" t="str">
        <f t="shared" si="0"/>
        <v>MBA</v>
      </c>
      <c r="B62" t="str">
        <f t="shared" si="1"/>
        <v>NBO</v>
      </c>
      <c r="C62" s="13" t="s">
        <v>156</v>
      </c>
      <c r="D62" s="13" t="s">
        <v>157</v>
      </c>
      <c r="E62" s="21" t="s">
        <v>254</v>
      </c>
      <c r="F62" t="str">
        <f t="shared" si="2"/>
        <v>update routes set important=true where (departure_airport='MBA' and arrival_airport='NBO') or (departure_airport='NBO' and arrival_airport='MBA');</v>
      </c>
    </row>
    <row r="63" spans="1:6" ht="15" x14ac:dyDescent="0.2">
      <c r="A63" t="str">
        <f t="shared" si="0"/>
        <v>DAR</v>
      </c>
      <c r="B63" t="str">
        <f t="shared" si="1"/>
        <v>ZNZ</v>
      </c>
      <c r="C63" s="13" t="s">
        <v>158</v>
      </c>
      <c r="D63" s="13" t="s">
        <v>159</v>
      </c>
      <c r="E63" s="21" t="s">
        <v>254</v>
      </c>
      <c r="F63" t="str">
        <f t="shared" si="2"/>
        <v>update routes set important=true where (departure_airport='DAR' and arrival_airport='ZNZ') or (departure_airport='ZNZ' and arrival_airport='DAR');</v>
      </c>
    </row>
    <row r="64" spans="1:6" ht="15" x14ac:dyDescent="0.2">
      <c r="A64" t="str">
        <f t="shared" si="0"/>
        <v>CAI</v>
      </c>
      <c r="B64" t="str">
        <f t="shared" si="1"/>
        <v>LXR</v>
      </c>
      <c r="C64" s="13" t="s">
        <v>160</v>
      </c>
      <c r="D64" s="13" t="s">
        <v>161</v>
      </c>
      <c r="E64" s="21" t="s">
        <v>254</v>
      </c>
      <c r="F64" t="str">
        <f t="shared" si="2"/>
        <v>update routes set important=true where (departure_airport='CAI' and arrival_airport='LXR') or (departure_airport='LXR' and arrival_airport='CAI');</v>
      </c>
    </row>
    <row r="65" spans="1:6" ht="15" x14ac:dyDescent="0.2">
      <c r="A65" t="str">
        <f t="shared" si="0"/>
        <v>CPT</v>
      </c>
      <c r="B65" t="str">
        <f t="shared" si="1"/>
        <v>HLA</v>
      </c>
      <c r="C65" s="13" t="s">
        <v>162</v>
      </c>
      <c r="D65" s="13" t="s">
        <v>163</v>
      </c>
      <c r="E65" s="21" t="s">
        <v>254</v>
      </c>
      <c r="F65" t="str">
        <f t="shared" si="2"/>
        <v>update routes set important=true where (departure_airport='CPT' and arrival_airport='HLA') or (departure_airport='HLA' and arrival_airport='CPT');</v>
      </c>
    </row>
    <row r="66" spans="1:6" ht="15" x14ac:dyDescent="0.2">
      <c r="A66" t="str">
        <f t="shared" si="0"/>
        <v>ASW</v>
      </c>
      <c r="B66" t="str">
        <f t="shared" si="1"/>
        <v>CAI</v>
      </c>
      <c r="C66" s="13" t="s">
        <v>164</v>
      </c>
      <c r="D66" s="13" t="s">
        <v>165</v>
      </c>
      <c r="E66" s="21" t="s">
        <v>254</v>
      </c>
      <c r="F66" t="str">
        <f t="shared" si="2"/>
        <v>update routes set important=true where (departure_airport='ASW' and arrival_airport='CAI') or (departure_airport='CAI' and arrival_airport='ASW');</v>
      </c>
    </row>
    <row r="67" spans="1:6" ht="15" x14ac:dyDescent="0.2">
      <c r="A67" t="str">
        <f t="shared" si="0"/>
        <v>CJU</v>
      </c>
      <c r="B67" t="str">
        <f t="shared" si="1"/>
        <v>GMP</v>
      </c>
      <c r="C67" s="13" t="s">
        <v>125</v>
      </c>
      <c r="D67" s="13" t="s">
        <v>126</v>
      </c>
      <c r="E67" s="21" t="s">
        <v>254</v>
      </c>
      <c r="F67" t="str">
        <f t="shared" si="2"/>
        <v>update routes set important=true where (departure_airport='CJU' and arrival_airport='GMP') or (departure_airport='GMP' and arrival_airport='CJU');</v>
      </c>
    </row>
    <row r="68" spans="1:6" ht="15" x14ac:dyDescent="0.2">
      <c r="A68" t="str">
        <f t="shared" si="0"/>
        <v>CTS</v>
      </c>
      <c r="B68" t="str">
        <f t="shared" si="1"/>
        <v>HND</v>
      </c>
      <c r="C68" s="13" t="s">
        <v>127</v>
      </c>
      <c r="D68" s="13" t="s">
        <v>128</v>
      </c>
      <c r="E68" s="21" t="s">
        <v>254</v>
      </c>
      <c r="F68" t="str">
        <f t="shared" si="2"/>
        <v>update routes set important=true where (departure_airport='CTS' and arrival_airport='HND') or (departure_airport='HND' and arrival_airport='CTS');</v>
      </c>
    </row>
    <row r="69" spans="1:6" ht="15" x14ac:dyDescent="0.2">
      <c r="A69" t="str">
        <f t="shared" si="0"/>
        <v>FUK</v>
      </c>
      <c r="B69" t="str">
        <f t="shared" si="1"/>
        <v>HND</v>
      </c>
      <c r="C69" s="13" t="s">
        <v>129</v>
      </c>
      <c r="D69" s="13" t="s">
        <v>130</v>
      </c>
      <c r="E69" s="21" t="s">
        <v>254</v>
      </c>
      <c r="F69" t="str">
        <f t="shared" si="2"/>
        <v>update routes set important=true where (departure_airport='FUK' and arrival_airport='HND') or (departure_airport='HND' and arrival_airport='FUK');</v>
      </c>
    </row>
    <row r="70" spans="1:6" ht="15" x14ac:dyDescent="0.2">
      <c r="A70" t="str">
        <f t="shared" si="0"/>
        <v>HAN</v>
      </c>
      <c r="B70" t="str">
        <f t="shared" si="1"/>
        <v>SGN</v>
      </c>
      <c r="C70" s="13" t="s">
        <v>131</v>
      </c>
      <c r="D70" s="13" t="s">
        <v>132</v>
      </c>
      <c r="E70" s="21" t="s">
        <v>254</v>
      </c>
      <c r="F70" t="str">
        <f t="shared" si="2"/>
        <v>update routes set important=true where (departure_airport='HAN' and arrival_airport='SGN') or (departure_airport='SGN' and arrival_airport='HAN');</v>
      </c>
    </row>
    <row r="71" spans="1:6" ht="15" x14ac:dyDescent="0.2">
      <c r="A71" t="str">
        <f t="shared" si="0"/>
        <v>HND</v>
      </c>
      <c r="B71" t="str">
        <f t="shared" si="1"/>
        <v>OKA</v>
      </c>
      <c r="C71" s="13" t="s">
        <v>137</v>
      </c>
      <c r="D71" s="13" t="s">
        <v>138</v>
      </c>
      <c r="E71" s="21" t="s">
        <v>254</v>
      </c>
      <c r="F71" t="str">
        <f t="shared" si="2"/>
        <v>update routes set important=true where (departure_airport='HND' and arrival_airport='OKA') or (departure_airport='OKA' and arrival_airport='HND');</v>
      </c>
    </row>
    <row r="72" spans="1:6" ht="15" x14ac:dyDescent="0.2">
      <c r="A72" t="str">
        <f t="shared" ref="A72:A116" si="3">MID(C72,1,3)</f>
        <v>BOM</v>
      </c>
      <c r="B72" t="str">
        <f t="shared" ref="B72:B116" si="4">MID(C72,5,6)</f>
        <v>DEL</v>
      </c>
      <c r="C72" s="13" t="s">
        <v>139</v>
      </c>
      <c r="D72" s="13" t="s">
        <v>140</v>
      </c>
      <c r="E72" s="21" t="s">
        <v>254</v>
      </c>
      <c r="F72" t="str">
        <f t="shared" ref="F72:F116" si="5">_xlfn.CONCAT("update routes set important=true where (departure_airport='",A72,"' and arrival_airport='",B72,"') or (departure_airport='",B72,"' and arrival_airport='",A72,"');")</f>
        <v>update routes set important=true where (departure_airport='BOM' and arrival_airport='DEL') or (departure_airport='DEL' and arrival_airport='BOM');</v>
      </c>
    </row>
    <row r="73" spans="1:6" ht="15" x14ac:dyDescent="0.2">
      <c r="A73" t="str">
        <f t="shared" si="3"/>
        <v>PEK</v>
      </c>
      <c r="B73" t="str">
        <f t="shared" si="4"/>
        <v>SHA</v>
      </c>
      <c r="C73" s="13" t="s">
        <v>141</v>
      </c>
      <c r="D73" s="13" t="s">
        <v>142</v>
      </c>
      <c r="E73" s="21" t="s">
        <v>254</v>
      </c>
      <c r="F73" t="str">
        <f t="shared" si="5"/>
        <v>update routes set important=true where (departure_airport='PEK' and arrival_airport='SHA') or (departure_airport='SHA' and arrival_airport='PEK');</v>
      </c>
    </row>
    <row r="74" spans="1:6" ht="15" x14ac:dyDescent="0.2">
      <c r="A74" t="str">
        <f t="shared" si="3"/>
        <v>CAN</v>
      </c>
      <c r="B74" t="str">
        <f t="shared" si="4"/>
        <v>SHA</v>
      </c>
      <c r="C74" s="13" t="s">
        <v>143</v>
      </c>
      <c r="D74" s="13" t="s">
        <v>144</v>
      </c>
      <c r="E74" s="21" t="s">
        <v>254</v>
      </c>
      <c r="F74" t="str">
        <f t="shared" si="5"/>
        <v>update routes set important=true where (departure_airport='CAN' and arrival_airport='SHA') or (departure_airport='SHA' and arrival_airport='CAN');</v>
      </c>
    </row>
    <row r="75" spans="1:6" ht="15" x14ac:dyDescent="0.2">
      <c r="A75" t="str">
        <f t="shared" si="3"/>
        <v>SHA</v>
      </c>
      <c r="B75" t="str">
        <f t="shared" si="4"/>
        <v>SZX</v>
      </c>
      <c r="C75" s="13" t="s">
        <v>167</v>
      </c>
      <c r="D75" s="13" t="s">
        <v>168</v>
      </c>
      <c r="E75" s="21" t="s">
        <v>254</v>
      </c>
      <c r="F75" t="str">
        <f t="shared" si="5"/>
        <v>update routes set important=true where (departure_airport='SHA' and arrival_airport='SZX') or (departure_airport='SZX' and arrival_airport='SHA');</v>
      </c>
    </row>
    <row r="76" spans="1:6" ht="15" x14ac:dyDescent="0.2">
      <c r="A76" t="str">
        <f t="shared" si="3"/>
        <v>CGK</v>
      </c>
      <c r="B76" t="str">
        <f t="shared" si="4"/>
        <v>UPG</v>
      </c>
      <c r="C76" s="13" t="s">
        <v>169</v>
      </c>
      <c r="D76" s="13" t="s">
        <v>170</v>
      </c>
      <c r="E76" s="21" t="s">
        <v>254</v>
      </c>
      <c r="F76" t="str">
        <f t="shared" si="5"/>
        <v>update routes set important=true where (departure_airport='CGK' and arrival_airport='UPG') or (departure_airport='UPG' and arrival_airport='CGK');</v>
      </c>
    </row>
    <row r="77" spans="1:6" ht="15" x14ac:dyDescent="0.2">
      <c r="A77" t="str">
        <f t="shared" si="3"/>
        <v>BCN</v>
      </c>
      <c r="B77" t="str">
        <f t="shared" si="4"/>
        <v>PMI</v>
      </c>
      <c r="C77" s="13" t="s">
        <v>172</v>
      </c>
      <c r="D77" s="13" t="s">
        <v>173</v>
      </c>
      <c r="E77" s="21" t="s">
        <v>254</v>
      </c>
      <c r="F77" t="str">
        <f t="shared" si="5"/>
        <v>update routes set important=true where (departure_airport='BCN' and arrival_airport='PMI') or (departure_airport='PMI' and arrival_airport='BCN');</v>
      </c>
    </row>
    <row r="78" spans="1:6" ht="15" x14ac:dyDescent="0.2">
      <c r="A78" t="str">
        <f t="shared" si="3"/>
        <v>AYT</v>
      </c>
      <c r="B78" t="str">
        <f t="shared" si="4"/>
        <v>SAW</v>
      </c>
      <c r="C78" s="13" t="s">
        <v>174</v>
      </c>
      <c r="D78" s="13" t="s">
        <v>175</v>
      </c>
      <c r="E78" s="21" t="s">
        <v>254</v>
      </c>
      <c r="F78" t="str">
        <f t="shared" si="5"/>
        <v>update routes set important=true where (departure_airport='AYT' and arrival_airport='SAW') or (departure_airport='SAW' and arrival_airport='AYT');</v>
      </c>
    </row>
    <row r="79" spans="1:6" ht="15" x14ac:dyDescent="0.2">
      <c r="A79" t="str">
        <f t="shared" si="3"/>
        <v>MAD</v>
      </c>
      <c r="B79" t="str">
        <f t="shared" si="4"/>
        <v>PMI</v>
      </c>
      <c r="C79" s="13" t="s">
        <v>176</v>
      </c>
      <c r="D79" s="13" t="s">
        <v>177</v>
      </c>
      <c r="E79" s="21" t="s">
        <v>254</v>
      </c>
      <c r="F79" t="str">
        <f t="shared" si="5"/>
        <v>update routes set important=true where (departure_airport='MAD' and arrival_airport='PMI') or (departure_airport='PMI' and arrival_airport='MAD');</v>
      </c>
    </row>
    <row r="80" spans="1:6" ht="15" x14ac:dyDescent="0.2">
      <c r="A80" t="str">
        <f t="shared" si="3"/>
        <v>OSL</v>
      </c>
      <c r="B80" t="str">
        <f t="shared" si="4"/>
        <v>TRD</v>
      </c>
      <c r="C80" s="13" t="s">
        <v>178</v>
      </c>
      <c r="D80" s="13" t="s">
        <v>179</v>
      </c>
      <c r="E80" s="21" t="s">
        <v>254</v>
      </c>
      <c r="F80" t="str">
        <f t="shared" si="5"/>
        <v>update routes set important=true where (departure_airport='OSL' and arrival_airport='TRD') or (departure_airport='TRD' and arrival_airport='OSL');</v>
      </c>
    </row>
    <row r="81" spans="1:6" ht="15" x14ac:dyDescent="0.2">
      <c r="A81" t="str">
        <f t="shared" si="3"/>
        <v>CTA</v>
      </c>
      <c r="B81" t="str">
        <f t="shared" si="4"/>
        <v>FCO</v>
      </c>
      <c r="C81" s="13" t="s">
        <v>180</v>
      </c>
      <c r="D81" s="13" t="s">
        <v>181</v>
      </c>
      <c r="E81" s="21" t="s">
        <v>254</v>
      </c>
      <c r="F81" t="str">
        <f t="shared" si="5"/>
        <v>update routes set important=true where (departure_airport='CTA' and arrival_airport='FCO') or (departure_airport='FCO' and arrival_airport='CTA');</v>
      </c>
    </row>
    <row r="82" spans="1:6" ht="15" x14ac:dyDescent="0.2">
      <c r="A82" t="str">
        <f t="shared" si="3"/>
        <v>BCN</v>
      </c>
      <c r="B82" t="str">
        <f t="shared" si="4"/>
        <v>MAD</v>
      </c>
      <c r="C82" s="13" t="s">
        <v>182</v>
      </c>
      <c r="D82" s="13" t="s">
        <v>183</v>
      </c>
      <c r="E82" s="21" t="s">
        <v>254</v>
      </c>
      <c r="F82" t="str">
        <f t="shared" si="5"/>
        <v>update routes set important=true where (departure_airport='BCN' and arrival_airport='MAD') or (departure_airport='MAD' and arrival_airport='BCN');</v>
      </c>
    </row>
    <row r="83" spans="1:6" ht="15" x14ac:dyDescent="0.2">
      <c r="A83" t="str">
        <f t="shared" si="3"/>
        <v>LPA</v>
      </c>
      <c r="B83" t="str">
        <f t="shared" si="4"/>
        <v>MAD</v>
      </c>
      <c r="C83" s="13" t="s">
        <v>184</v>
      </c>
      <c r="D83" s="13" t="s">
        <v>185</v>
      </c>
      <c r="E83" s="21" t="s">
        <v>254</v>
      </c>
      <c r="F83" t="str">
        <f t="shared" si="5"/>
        <v>update routes set important=true where (departure_airport='LPA' and arrival_airport='MAD') or (departure_airport='MAD' and arrival_airport='LPA');</v>
      </c>
    </row>
    <row r="84" spans="1:6" ht="15" x14ac:dyDescent="0.2">
      <c r="A84" t="str">
        <f t="shared" si="3"/>
        <v>BGO</v>
      </c>
      <c r="B84" t="str">
        <f t="shared" si="4"/>
        <v>OSL</v>
      </c>
      <c r="C84" s="13" t="s">
        <v>186</v>
      </c>
      <c r="D84" s="13" t="s">
        <v>187</v>
      </c>
      <c r="E84" s="21" t="s">
        <v>254</v>
      </c>
      <c r="F84" t="str">
        <f t="shared" si="5"/>
        <v>update routes set important=true where (departure_airport='BGO' and arrival_airport='OSL') or (departure_airport='OSL' and arrival_airport='BGO');</v>
      </c>
    </row>
    <row r="85" spans="1:6" ht="15" x14ac:dyDescent="0.2">
      <c r="A85" t="str">
        <f t="shared" si="3"/>
        <v>FCO</v>
      </c>
      <c r="B85" t="str">
        <f t="shared" si="4"/>
        <v>PMO</v>
      </c>
      <c r="C85" s="13" t="s">
        <v>188</v>
      </c>
      <c r="D85" s="13" t="s">
        <v>189</v>
      </c>
      <c r="E85" s="21" t="s">
        <v>254</v>
      </c>
      <c r="F85" t="str">
        <f t="shared" si="5"/>
        <v>update routes set important=true where (departure_airport='FCO' and arrival_airport='PMO') or (departure_airport='PMO' and arrival_airport='FCO');</v>
      </c>
    </row>
    <row r="86" spans="1:6" ht="15" x14ac:dyDescent="0.2">
      <c r="A86" t="str">
        <f t="shared" si="3"/>
        <v>MAD</v>
      </c>
      <c r="B86" t="str">
        <f t="shared" si="4"/>
        <v>TFN</v>
      </c>
      <c r="C86" s="13" t="s">
        <v>190</v>
      </c>
      <c r="D86" s="13" t="s">
        <v>191</v>
      </c>
      <c r="E86" s="21" t="s">
        <v>254</v>
      </c>
      <c r="F86" t="str">
        <f t="shared" si="5"/>
        <v>update routes set important=true where (departure_airport='MAD' and arrival_airport='TFN') or (departure_airport='TFN' and arrival_airport='MAD');</v>
      </c>
    </row>
    <row r="87" spans="1:6" ht="15" x14ac:dyDescent="0.2">
      <c r="A87" t="str">
        <f t="shared" si="3"/>
        <v>BOG</v>
      </c>
      <c r="B87" t="str">
        <f t="shared" si="4"/>
        <v>MDE</v>
      </c>
      <c r="C87" s="13" t="s">
        <v>193</v>
      </c>
      <c r="D87" s="13" t="s">
        <v>194</v>
      </c>
      <c r="E87" s="21" t="s">
        <v>254</v>
      </c>
      <c r="F87" t="str">
        <f t="shared" si="5"/>
        <v>update routes set important=true where (departure_airport='BOG' and arrival_airport='MDE') or (departure_airport='MDE' and arrival_airport='BOG');</v>
      </c>
    </row>
    <row r="88" spans="1:6" ht="15" x14ac:dyDescent="0.2">
      <c r="A88" t="str">
        <f t="shared" si="3"/>
        <v>CGH</v>
      </c>
      <c r="B88" t="str">
        <f t="shared" si="4"/>
        <v>SDU</v>
      </c>
      <c r="C88" s="13" t="s">
        <v>195</v>
      </c>
      <c r="D88" s="13" t="s">
        <v>196</v>
      </c>
      <c r="E88" s="21" t="s">
        <v>254</v>
      </c>
      <c r="F88" t="str">
        <f t="shared" si="5"/>
        <v>update routes set important=true where (departure_airport='CGH' and arrival_airport='SDU') or (departure_airport='SDU' and arrival_airport='CGH');</v>
      </c>
    </row>
    <row r="89" spans="1:6" ht="15" x14ac:dyDescent="0.2">
      <c r="A89" t="str">
        <f t="shared" si="3"/>
        <v>BOG</v>
      </c>
      <c r="B89" t="str">
        <f t="shared" si="4"/>
        <v>CTG</v>
      </c>
      <c r="C89" s="13" t="s">
        <v>197</v>
      </c>
      <c r="D89" s="13" t="s">
        <v>198</v>
      </c>
      <c r="E89" s="21" t="s">
        <v>254</v>
      </c>
      <c r="F89" t="str">
        <f t="shared" si="5"/>
        <v>update routes set important=true where (departure_airport='BOG' and arrival_airport='CTG') or (departure_airport='CTG' and arrival_airport='BOG');</v>
      </c>
    </row>
    <row r="90" spans="1:6" ht="15" x14ac:dyDescent="0.2">
      <c r="A90" t="str">
        <f t="shared" si="3"/>
        <v>BOG</v>
      </c>
      <c r="B90" t="str">
        <f t="shared" si="4"/>
        <v>CLO</v>
      </c>
      <c r="C90" s="13" t="s">
        <v>199</v>
      </c>
      <c r="D90" s="13" t="s">
        <v>200</v>
      </c>
      <c r="E90" s="21" t="s">
        <v>254</v>
      </c>
      <c r="F90" t="str">
        <f t="shared" si="5"/>
        <v>update routes set important=true where (departure_airport='BOG' and arrival_airport='CLO') or (departure_airport='CLO' and arrival_airport='BOG');</v>
      </c>
    </row>
    <row r="91" spans="1:6" ht="15" x14ac:dyDescent="0.2">
      <c r="A91" t="str">
        <f t="shared" si="3"/>
        <v>CUZ</v>
      </c>
      <c r="B91" t="str">
        <f t="shared" si="4"/>
        <v>LIM</v>
      </c>
      <c r="C91" s="13" t="s">
        <v>201</v>
      </c>
      <c r="D91" s="13" t="s">
        <v>202</v>
      </c>
      <c r="E91" s="21" t="s">
        <v>254</v>
      </c>
      <c r="F91" t="str">
        <f t="shared" si="5"/>
        <v>update routes set important=true where (departure_airport='CUZ' and arrival_airport='LIM') or (departure_airport='LIM' and arrival_airport='CUZ');</v>
      </c>
    </row>
    <row r="92" spans="1:6" ht="15" x14ac:dyDescent="0.2">
      <c r="A92" t="str">
        <f t="shared" si="3"/>
        <v>CUN</v>
      </c>
      <c r="B92" t="str">
        <f t="shared" si="4"/>
        <v>MEX</v>
      </c>
      <c r="C92" s="13" t="s">
        <v>203</v>
      </c>
      <c r="D92" s="13" t="s">
        <v>204</v>
      </c>
      <c r="E92" s="21" t="s">
        <v>254</v>
      </c>
      <c r="F92" t="str">
        <f t="shared" si="5"/>
        <v>update routes set important=true where (departure_airport='CUN' and arrival_airport='MEX') or (departure_airport='MEX' and arrival_airport='CUN');</v>
      </c>
    </row>
    <row r="93" spans="1:6" ht="15" x14ac:dyDescent="0.2">
      <c r="A93" t="str">
        <f t="shared" si="3"/>
        <v>MEX</v>
      </c>
      <c r="B93" t="str">
        <f t="shared" si="4"/>
        <v>MTY</v>
      </c>
      <c r="C93" s="13" t="s">
        <v>205</v>
      </c>
      <c r="D93" s="13" t="s">
        <v>206</v>
      </c>
      <c r="E93" s="21" t="s">
        <v>254</v>
      </c>
      <c r="F93" t="str">
        <f t="shared" si="5"/>
        <v>update routes set important=true where (departure_airport='MEX' and arrival_airport='MTY') or (departure_airport='MTY' and arrival_airport='MEX');</v>
      </c>
    </row>
    <row r="94" spans="1:6" ht="15" x14ac:dyDescent="0.2">
      <c r="A94" t="str">
        <f t="shared" si="3"/>
        <v>GDL</v>
      </c>
      <c r="B94" t="str">
        <f t="shared" si="4"/>
        <v>MEX</v>
      </c>
      <c r="C94" s="13" t="s">
        <v>207</v>
      </c>
      <c r="D94" s="13" t="s">
        <v>208</v>
      </c>
      <c r="E94" s="21" t="s">
        <v>254</v>
      </c>
      <c r="F94" t="str">
        <f t="shared" si="5"/>
        <v>update routes set important=true where (departure_airport='GDL' and arrival_airport='MEX') or (departure_airport='MEX' and arrival_airport='GDL');</v>
      </c>
    </row>
    <row r="95" spans="1:6" ht="15" x14ac:dyDescent="0.2">
      <c r="A95" t="str">
        <f t="shared" si="3"/>
        <v>BSB</v>
      </c>
      <c r="B95" t="str">
        <f t="shared" si="4"/>
        <v>CGH</v>
      </c>
      <c r="C95" s="13" t="s">
        <v>209</v>
      </c>
      <c r="D95" s="13" t="s">
        <v>210</v>
      </c>
      <c r="E95" s="21" t="s">
        <v>254</v>
      </c>
      <c r="F95" t="str">
        <f t="shared" si="5"/>
        <v>update routes set important=true where (departure_airport='BSB' and arrival_airport='CGH') or (departure_airport='CGH' and arrival_airport='BSB');</v>
      </c>
    </row>
    <row r="96" spans="1:6" ht="15" x14ac:dyDescent="0.2">
      <c r="A96" t="str">
        <f t="shared" si="3"/>
        <v>BOG</v>
      </c>
      <c r="B96" t="str">
        <f t="shared" si="4"/>
        <v>SMR</v>
      </c>
      <c r="C96" s="13" t="s">
        <v>211</v>
      </c>
      <c r="D96" s="13" t="s">
        <v>212</v>
      </c>
      <c r="E96" s="21" t="s">
        <v>254</v>
      </c>
      <c r="F96" t="str">
        <f t="shared" si="5"/>
        <v>update routes set important=true where (departure_airport='BOG' and arrival_airport='SMR') or (departure_airport='SMR' and arrival_airport='BOG');</v>
      </c>
    </row>
    <row r="97" spans="1:6" ht="15" x14ac:dyDescent="0.2">
      <c r="A97" t="str">
        <f t="shared" si="3"/>
        <v>JED</v>
      </c>
      <c r="B97" t="str">
        <f t="shared" si="4"/>
        <v>RUH</v>
      </c>
      <c r="C97" s="13" t="s">
        <v>135</v>
      </c>
      <c r="D97" s="13" t="s">
        <v>136</v>
      </c>
      <c r="E97" s="21" t="s">
        <v>254</v>
      </c>
      <c r="F97" t="str">
        <f t="shared" si="5"/>
        <v>update routes set important=true where (departure_airport='JED' and arrival_airport='RUH') or (departure_airport='RUH' and arrival_airport='JED');</v>
      </c>
    </row>
    <row r="98" spans="1:6" ht="15" x14ac:dyDescent="0.2">
      <c r="A98" t="str">
        <f t="shared" si="3"/>
        <v>DMM</v>
      </c>
      <c r="B98" t="str">
        <f t="shared" si="4"/>
        <v>JED</v>
      </c>
      <c r="C98" s="13" t="s">
        <v>214</v>
      </c>
      <c r="D98" s="13" t="s">
        <v>215</v>
      </c>
      <c r="E98" s="21" t="s">
        <v>254</v>
      </c>
      <c r="F98" t="str">
        <f t="shared" si="5"/>
        <v>update routes set important=true where (departure_airport='DMM' and arrival_airport='JED') or (departure_airport='JED' and arrival_airport='DMM');</v>
      </c>
    </row>
    <row r="99" spans="1:6" ht="15" x14ac:dyDescent="0.2">
      <c r="A99" t="str">
        <f t="shared" si="3"/>
        <v>AHB</v>
      </c>
      <c r="B99" t="str">
        <f t="shared" si="4"/>
        <v>RUH</v>
      </c>
      <c r="C99" s="13" t="s">
        <v>216</v>
      </c>
      <c r="D99" s="13" t="s">
        <v>217</v>
      </c>
      <c r="E99" s="21" t="s">
        <v>254</v>
      </c>
      <c r="F99" t="str">
        <f t="shared" si="5"/>
        <v>update routes set important=true where (departure_airport='AHB' and arrival_airport='RUH') or (departure_airport='RUH' and arrival_airport='AHB');</v>
      </c>
    </row>
    <row r="100" spans="1:6" ht="15" x14ac:dyDescent="0.2">
      <c r="A100" t="str">
        <f t="shared" si="3"/>
        <v>DMM</v>
      </c>
      <c r="B100" t="str">
        <f t="shared" si="4"/>
        <v>RUH</v>
      </c>
      <c r="C100" s="13" t="s">
        <v>218</v>
      </c>
      <c r="D100" s="13" t="s">
        <v>219</v>
      </c>
      <c r="E100" s="21" t="s">
        <v>254</v>
      </c>
      <c r="F100" t="str">
        <f t="shared" si="5"/>
        <v>update routes set important=true where (departure_airport='DMM' and arrival_airport='RUH') or (departure_airport='RUH' and arrival_airport='DMM');</v>
      </c>
    </row>
    <row r="101" spans="1:6" ht="15" x14ac:dyDescent="0.2">
      <c r="A101" t="str">
        <f t="shared" si="3"/>
        <v>MHD</v>
      </c>
      <c r="B101" t="str">
        <f t="shared" si="4"/>
        <v>THR</v>
      </c>
      <c r="C101" s="13" t="s">
        <v>220</v>
      </c>
      <c r="D101" s="13" t="s">
        <v>221</v>
      </c>
      <c r="E101" s="21" t="s">
        <v>254</v>
      </c>
      <c r="F101" t="str">
        <f t="shared" si="5"/>
        <v>update routes set important=true where (departure_airport='MHD' and arrival_airport='THR') or (departure_airport='THR' and arrival_airport='MHD');</v>
      </c>
    </row>
    <row r="102" spans="1:6" ht="15" x14ac:dyDescent="0.2">
      <c r="A102" t="str">
        <f t="shared" si="3"/>
        <v>MED</v>
      </c>
      <c r="B102" t="str">
        <f t="shared" si="4"/>
        <v>RUH</v>
      </c>
      <c r="C102" s="13" t="s">
        <v>222</v>
      </c>
      <c r="D102" s="13" t="s">
        <v>223</v>
      </c>
      <c r="E102" s="21" t="s">
        <v>254</v>
      </c>
      <c r="F102" t="str">
        <f t="shared" si="5"/>
        <v>update routes set important=true where (departure_airport='MED' and arrival_airport='RUH') or (departure_airport='RUH' and arrival_airport='MED');</v>
      </c>
    </row>
    <row r="103" spans="1:6" ht="15" x14ac:dyDescent="0.2">
      <c r="A103" t="str">
        <f t="shared" si="3"/>
        <v>AHB</v>
      </c>
      <c r="B103" t="str">
        <f t="shared" si="4"/>
        <v>JED</v>
      </c>
      <c r="C103" s="13" t="s">
        <v>224</v>
      </c>
      <c r="D103" s="13" t="s">
        <v>225</v>
      </c>
      <c r="E103" s="21" t="s">
        <v>254</v>
      </c>
      <c r="F103" t="str">
        <f t="shared" si="5"/>
        <v>update routes set important=true where (departure_airport='AHB' and arrival_airport='JED') or (departure_airport='JED' and arrival_airport='AHB');</v>
      </c>
    </row>
    <row r="104" spans="1:6" ht="15" x14ac:dyDescent="0.2">
      <c r="A104" t="str">
        <f t="shared" si="3"/>
        <v>GIZ</v>
      </c>
      <c r="B104" t="str">
        <f t="shared" si="4"/>
        <v>RUH</v>
      </c>
      <c r="C104" s="13" t="s">
        <v>226</v>
      </c>
      <c r="D104" s="13" t="s">
        <v>227</v>
      </c>
      <c r="E104" s="21" t="s">
        <v>254</v>
      </c>
      <c r="F104" t="str">
        <f t="shared" si="5"/>
        <v>update routes set important=true where (departure_airport='GIZ' and arrival_airport='RUH') or (departure_airport='RUH' and arrival_airport='GIZ');</v>
      </c>
    </row>
    <row r="105" spans="1:6" ht="15" x14ac:dyDescent="0.2">
      <c r="A105" t="str">
        <f t="shared" si="3"/>
        <v>AWZ</v>
      </c>
      <c r="B105" t="str">
        <f t="shared" si="4"/>
        <v>THR</v>
      </c>
      <c r="C105" s="13" t="s">
        <v>228</v>
      </c>
      <c r="D105" s="13" t="s">
        <v>229</v>
      </c>
      <c r="E105" s="21" t="s">
        <v>254</v>
      </c>
      <c r="F105" t="str">
        <f t="shared" si="5"/>
        <v>update routes set important=true where (departure_airport='AWZ' and arrival_airport='THR') or (departure_airport='THR' and arrival_airport='AWZ');</v>
      </c>
    </row>
    <row r="106" spans="1:6" ht="15" x14ac:dyDescent="0.2">
      <c r="A106" t="str">
        <f t="shared" si="3"/>
        <v>RUH</v>
      </c>
      <c r="B106" t="str">
        <f t="shared" si="4"/>
        <v>TUU</v>
      </c>
      <c r="C106" s="13" t="s">
        <v>230</v>
      </c>
      <c r="D106" s="13" t="s">
        <v>231</v>
      </c>
      <c r="E106" s="21" t="s">
        <v>254</v>
      </c>
      <c r="F106" t="str">
        <f t="shared" si="5"/>
        <v>update routes set important=true where (departure_airport='RUH' and arrival_airport='TUU') or (departure_airport='TUU' and arrival_airport='RUH');</v>
      </c>
    </row>
    <row r="107" spans="1:6" ht="15" x14ac:dyDescent="0.2">
      <c r="A107" t="str">
        <f t="shared" si="3"/>
        <v>YVR</v>
      </c>
      <c r="B107" t="str">
        <f t="shared" si="4"/>
        <v>YYZ</v>
      </c>
      <c r="C107" s="13" t="s">
        <v>233</v>
      </c>
      <c r="D107" s="13" t="s">
        <v>234</v>
      </c>
      <c r="E107" s="21" t="s">
        <v>254</v>
      </c>
      <c r="F107" t="str">
        <f t="shared" si="5"/>
        <v>update routes set important=true where (departure_airport='YVR' and arrival_airport='YYZ') or (departure_airport='YYZ' and arrival_airport='YVR');</v>
      </c>
    </row>
    <row r="108" spans="1:6" ht="15" x14ac:dyDescent="0.2">
      <c r="A108" t="str">
        <f t="shared" si="3"/>
        <v>ATL</v>
      </c>
      <c r="B108" t="str">
        <f t="shared" si="4"/>
        <v>MCO</v>
      </c>
      <c r="C108" s="13" t="s">
        <v>235</v>
      </c>
      <c r="D108" s="13" t="s">
        <v>236</v>
      </c>
      <c r="E108" s="21" t="s">
        <v>254</v>
      </c>
      <c r="F108" t="str">
        <f t="shared" si="5"/>
        <v>update routes set important=true where (departure_airport='ATL' and arrival_airport='MCO') or (departure_airport='MCO' and arrival_airport='ATL');</v>
      </c>
    </row>
    <row r="109" spans="1:6" ht="15" x14ac:dyDescent="0.2">
      <c r="A109" t="str">
        <f t="shared" si="3"/>
        <v>HNL</v>
      </c>
      <c r="B109" t="str">
        <f t="shared" si="4"/>
        <v>OGG</v>
      </c>
      <c r="C109" s="13" t="s">
        <v>237</v>
      </c>
      <c r="D109" s="13" t="s">
        <v>238</v>
      </c>
      <c r="E109" s="21" t="s">
        <v>254</v>
      </c>
      <c r="F109" t="str">
        <f t="shared" si="5"/>
        <v>update routes set important=true where (departure_airport='HNL' and arrival_airport='OGG') or (departure_airport='OGG' and arrival_airport='HNL');</v>
      </c>
    </row>
    <row r="110" spans="1:6" ht="15" x14ac:dyDescent="0.2">
      <c r="A110" t="str">
        <f t="shared" si="3"/>
        <v>LAS</v>
      </c>
      <c r="B110" t="str">
        <f t="shared" si="4"/>
        <v>LAX</v>
      </c>
      <c r="C110" s="13" t="s">
        <v>239</v>
      </c>
      <c r="D110" s="13" t="s">
        <v>240</v>
      </c>
      <c r="E110" s="21" t="s">
        <v>254</v>
      </c>
      <c r="F110" t="str">
        <f t="shared" si="5"/>
        <v>update routes set important=true where (departure_airport='LAS' and arrival_airport='LAX') or (departure_airport='LAX' and arrival_airport='LAS');</v>
      </c>
    </row>
    <row r="111" spans="1:6" ht="15" x14ac:dyDescent="0.2">
      <c r="A111" t="str">
        <f t="shared" si="3"/>
        <v>DEN</v>
      </c>
      <c r="B111" t="str">
        <f t="shared" si="4"/>
        <v>PHX</v>
      </c>
      <c r="C111" s="13" t="s">
        <v>241</v>
      </c>
      <c r="D111" s="13" t="s">
        <v>242</v>
      </c>
      <c r="E111" s="21" t="s">
        <v>254</v>
      </c>
      <c r="F111" t="str">
        <f t="shared" si="5"/>
        <v>update routes set important=true where (departure_airport='DEN' and arrival_airport='PHX') or (departure_airport='PHX' and arrival_airport='DEN');</v>
      </c>
    </row>
    <row r="112" spans="1:6" ht="15" x14ac:dyDescent="0.2">
      <c r="A112" t="str">
        <f t="shared" si="3"/>
        <v>LAX</v>
      </c>
      <c r="B112" t="str">
        <f t="shared" si="4"/>
        <v>SFO</v>
      </c>
      <c r="C112" s="13" t="s">
        <v>243</v>
      </c>
      <c r="D112" s="13" t="s">
        <v>244</v>
      </c>
      <c r="E112" s="21" t="s">
        <v>254</v>
      </c>
      <c r="F112" t="str">
        <f t="shared" si="5"/>
        <v>update routes set important=true where (departure_airport='LAX' and arrival_airport='SFO') or (departure_airport='SFO' and arrival_airport='LAX');</v>
      </c>
    </row>
    <row r="113" spans="1:6" ht="15" x14ac:dyDescent="0.2">
      <c r="A113" t="str">
        <f t="shared" si="3"/>
        <v>JFK</v>
      </c>
      <c r="B113" t="str">
        <f t="shared" si="4"/>
        <v>LAX</v>
      </c>
      <c r="C113" s="13" t="s">
        <v>245</v>
      </c>
      <c r="D113" s="13" t="s">
        <v>246</v>
      </c>
      <c r="E113" s="21" t="s">
        <v>254</v>
      </c>
      <c r="F113" t="str">
        <f t="shared" si="5"/>
        <v>update routes set important=true where (departure_airport='JFK' and arrival_airport='LAX') or (departure_airport='LAX' and arrival_airport='JFK');</v>
      </c>
    </row>
    <row r="114" spans="1:6" ht="15" x14ac:dyDescent="0.2">
      <c r="A114" t="str">
        <f t="shared" si="3"/>
        <v>LGA</v>
      </c>
      <c r="B114" t="str">
        <f t="shared" si="4"/>
        <v>ORD</v>
      </c>
      <c r="C114" s="13" t="s">
        <v>247</v>
      </c>
      <c r="D114" s="13" t="s">
        <v>248</v>
      </c>
      <c r="E114" s="21" t="s">
        <v>254</v>
      </c>
      <c r="F114" t="str">
        <f t="shared" si="5"/>
        <v>update routes set important=true where (departure_airport='LGA' and arrival_airport='ORD') or (departure_airport='ORD' and arrival_airport='LGA');</v>
      </c>
    </row>
    <row r="115" spans="1:6" ht="15" x14ac:dyDescent="0.2">
      <c r="A115" t="str">
        <f t="shared" si="3"/>
        <v>ATL</v>
      </c>
      <c r="B115" t="str">
        <f t="shared" si="4"/>
        <v>FLL</v>
      </c>
      <c r="C115" s="13" t="s">
        <v>249</v>
      </c>
      <c r="D115" s="13" t="s">
        <v>250</v>
      </c>
      <c r="E115" s="21" t="s">
        <v>254</v>
      </c>
      <c r="F115" t="str">
        <f t="shared" si="5"/>
        <v>update routes set important=true where (departure_airport='ATL' and arrival_airport='FLL') or (departure_airport='FLL' and arrival_airport='ATL');</v>
      </c>
    </row>
    <row r="116" spans="1:6" ht="15" x14ac:dyDescent="0.2">
      <c r="A116" t="str">
        <f t="shared" si="3"/>
        <v>YVR</v>
      </c>
      <c r="B116" t="str">
        <f t="shared" si="4"/>
        <v>YYC</v>
      </c>
      <c r="C116" s="13" t="s">
        <v>251</v>
      </c>
      <c r="D116" s="13" t="s">
        <v>252</v>
      </c>
      <c r="E116" s="21" t="s">
        <v>254</v>
      </c>
      <c r="F116" t="str">
        <f t="shared" si="5"/>
        <v>update routes set important=true where (departure_airport='YVR' and arrival_airport='YYC') or (departure_airport='YYC' and arrival_airport='YVR');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3"/>
  <sheetViews>
    <sheetView workbookViewId="0">
      <selection sqref="A1:C1"/>
    </sheetView>
  </sheetViews>
  <sheetFormatPr baseColWidth="10" defaultColWidth="12.6640625" defaultRowHeight="15.75" customHeight="1" x14ac:dyDescent="0.15"/>
  <cols>
    <col min="3" max="3" width="28.6640625" customWidth="1"/>
  </cols>
  <sheetData>
    <row r="1" spans="1:10" x14ac:dyDescent="0.2">
      <c r="A1" s="22" t="s">
        <v>124</v>
      </c>
      <c r="B1" s="23"/>
      <c r="C1" s="23"/>
      <c r="D1" s="3"/>
      <c r="E1" s="3"/>
      <c r="F1" s="4"/>
    </row>
    <row r="2" spans="1:10" x14ac:dyDescent="0.2">
      <c r="A2" s="3" t="s">
        <v>9</v>
      </c>
      <c r="B2" s="3"/>
      <c r="C2" s="3"/>
      <c r="D2" s="3"/>
      <c r="E2" s="3"/>
      <c r="F2" s="4"/>
      <c r="G2" s="3" t="s">
        <v>10</v>
      </c>
      <c r="H2" s="3"/>
    </row>
    <row r="3" spans="1:10" x14ac:dyDescent="0.2">
      <c r="A3" s="5" t="s">
        <v>11</v>
      </c>
      <c r="B3" s="3" t="s">
        <v>12</v>
      </c>
      <c r="C3" s="3" t="s">
        <v>12</v>
      </c>
      <c r="D3" s="3" t="s">
        <v>13</v>
      </c>
      <c r="E3" s="3" t="s">
        <v>14</v>
      </c>
      <c r="F3" s="3" t="s">
        <v>15</v>
      </c>
      <c r="G3" s="6">
        <v>2019</v>
      </c>
      <c r="H3" s="6">
        <v>2023</v>
      </c>
    </row>
    <row r="4" spans="1:10" x14ac:dyDescent="0.2">
      <c r="A4" s="7">
        <v>1</v>
      </c>
      <c r="B4" s="4" t="s">
        <v>125</v>
      </c>
      <c r="C4" s="4" t="s">
        <v>126</v>
      </c>
      <c r="D4" s="8">
        <v>14183719</v>
      </c>
      <c r="E4" s="9">
        <v>1</v>
      </c>
      <c r="F4" s="9">
        <v>1</v>
      </c>
      <c r="G4" s="10">
        <v>-0.19</v>
      </c>
      <c r="H4" s="10">
        <v>0.03</v>
      </c>
    </row>
    <row r="5" spans="1:10" x14ac:dyDescent="0.2">
      <c r="A5" s="7">
        <v>2</v>
      </c>
      <c r="B5" s="4" t="s">
        <v>127</v>
      </c>
      <c r="C5" s="4" t="s">
        <v>128</v>
      </c>
      <c r="D5" s="8">
        <v>11931572</v>
      </c>
      <c r="E5" s="9">
        <v>2</v>
      </c>
      <c r="F5" s="9">
        <v>2</v>
      </c>
      <c r="G5" s="10">
        <v>-0.05</v>
      </c>
      <c r="H5" s="10">
        <v>0</v>
      </c>
    </row>
    <row r="6" spans="1:10" x14ac:dyDescent="0.2">
      <c r="A6" s="7">
        <v>3</v>
      </c>
      <c r="B6" s="4" t="s">
        <v>129</v>
      </c>
      <c r="C6" s="4" t="s">
        <v>130</v>
      </c>
      <c r="D6" s="8">
        <v>11335551</v>
      </c>
      <c r="E6" s="9">
        <v>3</v>
      </c>
      <c r="F6" s="9">
        <v>3</v>
      </c>
      <c r="G6" s="10">
        <v>-0.01</v>
      </c>
      <c r="H6" s="10">
        <v>0.01</v>
      </c>
    </row>
    <row r="7" spans="1:10" x14ac:dyDescent="0.2">
      <c r="A7" s="7">
        <v>4</v>
      </c>
      <c r="B7" s="4" t="s">
        <v>131</v>
      </c>
      <c r="C7" s="4" t="s">
        <v>132</v>
      </c>
      <c r="D7" s="8">
        <v>10631435</v>
      </c>
      <c r="E7" s="9">
        <v>4</v>
      </c>
      <c r="F7" s="9">
        <v>4</v>
      </c>
      <c r="G7" s="10">
        <v>0.04</v>
      </c>
      <c r="H7" s="10">
        <v>-0.02</v>
      </c>
    </row>
    <row r="8" spans="1:10" x14ac:dyDescent="0.2">
      <c r="A8" s="7">
        <v>5</v>
      </c>
      <c r="B8" s="4" t="s">
        <v>133</v>
      </c>
      <c r="C8" s="4" t="s">
        <v>134</v>
      </c>
      <c r="D8" s="8">
        <v>9217377</v>
      </c>
      <c r="E8" s="9">
        <v>5</v>
      </c>
      <c r="F8" s="9">
        <v>5</v>
      </c>
      <c r="G8" s="10">
        <v>-7.0000000000000007E-2</v>
      </c>
      <c r="H8" s="10">
        <v>-0.01</v>
      </c>
      <c r="J8" s="11" t="s">
        <v>26</v>
      </c>
    </row>
    <row r="9" spans="1:10" x14ac:dyDescent="0.2">
      <c r="A9" s="7">
        <v>6</v>
      </c>
      <c r="B9" s="4" t="s">
        <v>135</v>
      </c>
      <c r="C9" s="4" t="s">
        <v>136</v>
      </c>
      <c r="D9" s="8">
        <v>8700415</v>
      </c>
      <c r="E9" s="9">
        <v>8</v>
      </c>
      <c r="F9" s="9">
        <v>8</v>
      </c>
      <c r="G9" s="10">
        <v>0.09</v>
      </c>
      <c r="H9" s="10">
        <v>0.1</v>
      </c>
    </row>
    <row r="10" spans="1:10" x14ac:dyDescent="0.2">
      <c r="A10" s="7">
        <v>7</v>
      </c>
      <c r="B10" s="4" t="s">
        <v>137</v>
      </c>
      <c r="C10" s="4" t="s">
        <v>138</v>
      </c>
      <c r="D10" s="8">
        <v>8033641</v>
      </c>
      <c r="E10" s="9">
        <v>9</v>
      </c>
      <c r="F10" s="9">
        <v>7</v>
      </c>
      <c r="G10" s="10">
        <v>0.04</v>
      </c>
      <c r="H10" s="10">
        <v>0.01</v>
      </c>
    </row>
    <row r="11" spans="1:10" x14ac:dyDescent="0.2">
      <c r="A11" s="7">
        <v>8</v>
      </c>
      <c r="B11" s="4" t="s">
        <v>139</v>
      </c>
      <c r="C11" s="4" t="s">
        <v>140</v>
      </c>
      <c r="D11" s="8">
        <v>7963686</v>
      </c>
      <c r="E11" s="9">
        <v>6</v>
      </c>
      <c r="F11" s="9">
        <v>9</v>
      </c>
      <c r="G11" s="10">
        <v>-0.03</v>
      </c>
      <c r="H11" s="10">
        <v>0.09</v>
      </c>
    </row>
    <row r="12" spans="1:10" x14ac:dyDescent="0.2">
      <c r="A12" s="7">
        <v>9</v>
      </c>
      <c r="B12" s="4" t="s">
        <v>141</v>
      </c>
      <c r="C12" s="4" t="s">
        <v>142</v>
      </c>
      <c r="D12" s="8">
        <v>7714758</v>
      </c>
      <c r="E12" s="9">
        <v>7</v>
      </c>
      <c r="F12" s="9">
        <v>6</v>
      </c>
      <c r="G12" s="10">
        <v>-0.05</v>
      </c>
      <c r="H12" s="10">
        <v>-0.08</v>
      </c>
    </row>
    <row r="13" spans="1:10" x14ac:dyDescent="0.2">
      <c r="A13" s="7">
        <v>10</v>
      </c>
      <c r="B13" s="4" t="s">
        <v>143</v>
      </c>
      <c r="C13" s="4" t="s">
        <v>144</v>
      </c>
      <c r="D13" s="8">
        <v>7010321</v>
      </c>
      <c r="E13" s="9">
        <v>13</v>
      </c>
      <c r="F13" s="9">
        <v>11</v>
      </c>
      <c r="G13" s="10">
        <v>0.1</v>
      </c>
      <c r="H13" s="10">
        <v>-0.02</v>
      </c>
    </row>
  </sheetData>
  <mergeCells count="1">
    <mergeCell ref="A1:C1"/>
  </mergeCells>
  <hyperlinks>
    <hyperlink ref="J8" r:id="rId1" xr:uid="{00000000-0004-0000-03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84"/>
  <sheetViews>
    <sheetView topLeftCell="A61" workbookViewId="0">
      <selection activeCell="B75" sqref="B75:C84"/>
    </sheetView>
  </sheetViews>
  <sheetFormatPr baseColWidth="10" defaultColWidth="12.6640625" defaultRowHeight="15.75" customHeight="1" x14ac:dyDescent="0.15"/>
  <cols>
    <col min="3" max="3" width="28.6640625" customWidth="1"/>
  </cols>
  <sheetData>
    <row r="1" spans="1:8" x14ac:dyDescent="0.2">
      <c r="A1" s="12" t="s">
        <v>145</v>
      </c>
      <c r="B1" s="13"/>
      <c r="C1" s="13"/>
      <c r="D1" s="13"/>
      <c r="E1" s="3"/>
      <c r="F1" s="24"/>
      <c r="G1" s="23"/>
    </row>
    <row r="2" spans="1:8" x14ac:dyDescent="0.2">
      <c r="A2" s="14"/>
      <c r="B2" s="13"/>
      <c r="C2" s="13"/>
      <c r="D2" s="13"/>
      <c r="E2" s="3"/>
      <c r="F2" s="12"/>
      <c r="G2" s="13"/>
    </row>
    <row r="3" spans="1:8" x14ac:dyDescent="0.2">
      <c r="A3" s="15" t="s">
        <v>11</v>
      </c>
      <c r="B3" s="12" t="s">
        <v>12</v>
      </c>
      <c r="C3" s="12" t="s">
        <v>38</v>
      </c>
      <c r="D3" s="16" t="s">
        <v>13</v>
      </c>
      <c r="E3" s="3"/>
      <c r="F3" s="15"/>
      <c r="G3" s="12"/>
    </row>
    <row r="4" spans="1:8" x14ac:dyDescent="0.2">
      <c r="A4" s="14">
        <v>1</v>
      </c>
      <c r="B4" s="13" t="s">
        <v>146</v>
      </c>
      <c r="C4" s="13" t="s">
        <v>147</v>
      </c>
      <c r="D4" s="18">
        <v>5084762</v>
      </c>
      <c r="E4" s="9"/>
      <c r="F4" s="14"/>
      <c r="G4" s="13"/>
    </row>
    <row r="5" spans="1:8" x14ac:dyDescent="0.2">
      <c r="A5" s="14">
        <v>2</v>
      </c>
      <c r="B5" s="13" t="s">
        <v>148</v>
      </c>
      <c r="C5" s="13" t="s">
        <v>149</v>
      </c>
      <c r="D5" s="18">
        <v>3543758</v>
      </c>
      <c r="E5" s="9"/>
      <c r="F5" s="14"/>
      <c r="G5" s="13"/>
    </row>
    <row r="6" spans="1:8" x14ac:dyDescent="0.2">
      <c r="A6" s="14">
        <v>3</v>
      </c>
      <c r="B6" s="13" t="s">
        <v>150</v>
      </c>
      <c r="C6" s="13" t="s">
        <v>151</v>
      </c>
      <c r="D6" s="18">
        <v>2262810</v>
      </c>
      <c r="E6" s="9"/>
      <c r="F6" s="14"/>
      <c r="G6" s="13"/>
    </row>
    <row r="7" spans="1:8" x14ac:dyDescent="0.2">
      <c r="A7" s="14">
        <v>4</v>
      </c>
      <c r="B7" s="13" t="s">
        <v>152</v>
      </c>
      <c r="C7" s="13" t="s">
        <v>153</v>
      </c>
      <c r="D7" s="18">
        <v>1304775</v>
      </c>
      <c r="E7" s="9"/>
      <c r="F7" s="14"/>
      <c r="G7" s="13"/>
    </row>
    <row r="8" spans="1:8" x14ac:dyDescent="0.2">
      <c r="A8" s="14">
        <v>5</v>
      </c>
      <c r="B8" s="13" t="s">
        <v>154</v>
      </c>
      <c r="C8" s="13" t="s">
        <v>155</v>
      </c>
      <c r="D8" s="18">
        <v>1271897</v>
      </c>
      <c r="E8" s="9"/>
      <c r="F8" s="14"/>
      <c r="G8" s="13"/>
      <c r="H8" s="11" t="s">
        <v>26</v>
      </c>
    </row>
    <row r="9" spans="1:8" x14ac:dyDescent="0.2">
      <c r="A9" s="14">
        <v>6</v>
      </c>
      <c r="B9" s="13" t="s">
        <v>156</v>
      </c>
      <c r="C9" s="13" t="s">
        <v>157</v>
      </c>
      <c r="D9" s="18">
        <v>1252491</v>
      </c>
      <c r="E9" s="9"/>
      <c r="F9" s="14"/>
      <c r="G9" s="13"/>
    </row>
    <row r="10" spans="1:8" x14ac:dyDescent="0.2">
      <c r="A10" s="14">
        <v>7</v>
      </c>
      <c r="B10" s="13" t="s">
        <v>158</v>
      </c>
      <c r="C10" s="13" t="s">
        <v>159</v>
      </c>
      <c r="D10" s="18">
        <v>958931</v>
      </c>
      <c r="E10" s="9"/>
      <c r="F10" s="14"/>
      <c r="G10" s="13"/>
    </row>
    <row r="11" spans="1:8" x14ac:dyDescent="0.2">
      <c r="A11" s="14">
        <v>8</v>
      </c>
      <c r="B11" s="13" t="s">
        <v>160</v>
      </c>
      <c r="C11" s="13" t="s">
        <v>161</v>
      </c>
      <c r="D11" s="18">
        <v>937116</v>
      </c>
      <c r="E11" s="9"/>
      <c r="F11" s="14"/>
      <c r="G11" s="13"/>
    </row>
    <row r="12" spans="1:8" x14ac:dyDescent="0.2">
      <c r="A12" s="14">
        <v>9</v>
      </c>
      <c r="B12" s="13" t="s">
        <v>162</v>
      </c>
      <c r="C12" s="13" t="s">
        <v>163</v>
      </c>
      <c r="D12" s="18">
        <v>926856</v>
      </c>
      <c r="E12" s="9"/>
      <c r="F12" s="14"/>
      <c r="G12" s="13"/>
    </row>
    <row r="13" spans="1:8" x14ac:dyDescent="0.2">
      <c r="A13" s="14">
        <v>10</v>
      </c>
      <c r="B13" s="13" t="s">
        <v>164</v>
      </c>
      <c r="C13" s="13" t="s">
        <v>165</v>
      </c>
      <c r="D13" s="18">
        <v>920959</v>
      </c>
      <c r="E13" s="9"/>
      <c r="F13" s="14"/>
      <c r="G13" s="13"/>
    </row>
    <row r="14" spans="1:8" x14ac:dyDescent="0.2">
      <c r="F14" s="14"/>
      <c r="G14" s="13"/>
    </row>
    <row r="15" spans="1:8" x14ac:dyDescent="0.2">
      <c r="F15" s="25"/>
      <c r="G15" s="23"/>
    </row>
    <row r="16" spans="1:8" x14ac:dyDescent="0.2">
      <c r="A16" s="24" t="s">
        <v>166</v>
      </c>
      <c r="B16" s="23"/>
      <c r="C16" s="13"/>
      <c r="D16" s="13"/>
      <c r="F16" s="20"/>
      <c r="G16" s="13"/>
    </row>
    <row r="17" spans="1:7" x14ac:dyDescent="0.2">
      <c r="A17" s="13"/>
      <c r="B17" s="13"/>
      <c r="C17" s="13"/>
      <c r="D17" s="13"/>
      <c r="F17" s="15"/>
      <c r="G17" s="12"/>
    </row>
    <row r="18" spans="1:7" x14ac:dyDescent="0.2">
      <c r="A18" s="15" t="s">
        <v>11</v>
      </c>
      <c r="B18" s="12" t="s">
        <v>12</v>
      </c>
      <c r="C18" s="12" t="s">
        <v>38</v>
      </c>
      <c r="D18" s="12" t="s">
        <v>13</v>
      </c>
      <c r="F18" s="14"/>
      <c r="G18" s="13"/>
    </row>
    <row r="19" spans="1:7" x14ac:dyDescent="0.2">
      <c r="A19" s="14">
        <v>1</v>
      </c>
      <c r="B19" s="13" t="s">
        <v>125</v>
      </c>
      <c r="C19" s="13" t="s">
        <v>126</v>
      </c>
      <c r="D19" s="18">
        <v>14183719</v>
      </c>
      <c r="F19" s="14"/>
      <c r="G19" s="13"/>
    </row>
    <row r="20" spans="1:7" x14ac:dyDescent="0.2">
      <c r="A20" s="14">
        <v>2</v>
      </c>
      <c r="B20" s="13" t="s">
        <v>127</v>
      </c>
      <c r="C20" s="13" t="s">
        <v>128</v>
      </c>
      <c r="D20" s="18">
        <v>11931572</v>
      </c>
      <c r="F20" s="14"/>
      <c r="G20" s="13"/>
    </row>
    <row r="21" spans="1:7" x14ac:dyDescent="0.2">
      <c r="A21" s="14">
        <v>3</v>
      </c>
      <c r="B21" s="13" t="s">
        <v>129</v>
      </c>
      <c r="C21" s="13" t="s">
        <v>130</v>
      </c>
      <c r="D21" s="18">
        <v>11335551</v>
      </c>
      <c r="F21" s="14"/>
      <c r="G21" s="13"/>
    </row>
    <row r="22" spans="1:7" x14ac:dyDescent="0.2">
      <c r="A22" s="14">
        <v>4</v>
      </c>
      <c r="B22" s="13" t="s">
        <v>131</v>
      </c>
      <c r="C22" s="13" t="s">
        <v>132</v>
      </c>
      <c r="D22" s="18">
        <v>10631435</v>
      </c>
      <c r="F22" s="14"/>
      <c r="G22" s="13"/>
    </row>
    <row r="23" spans="1:7" x14ac:dyDescent="0.2">
      <c r="A23" s="14">
        <v>5</v>
      </c>
      <c r="B23" s="13" t="s">
        <v>137</v>
      </c>
      <c r="C23" s="13" t="s">
        <v>138</v>
      </c>
      <c r="D23" s="18">
        <v>8033641</v>
      </c>
      <c r="F23" s="14"/>
      <c r="G23" s="13"/>
    </row>
    <row r="24" spans="1:7" x14ac:dyDescent="0.2">
      <c r="A24" s="14">
        <v>6</v>
      </c>
      <c r="B24" s="13" t="s">
        <v>139</v>
      </c>
      <c r="C24" s="13" t="s">
        <v>140</v>
      </c>
      <c r="D24" s="18">
        <v>7963686</v>
      </c>
      <c r="F24" s="14"/>
      <c r="G24" s="13"/>
    </row>
    <row r="25" spans="1:7" x14ac:dyDescent="0.2">
      <c r="A25" s="14">
        <v>7</v>
      </c>
      <c r="B25" s="13" t="s">
        <v>141</v>
      </c>
      <c r="C25" s="13" t="s">
        <v>142</v>
      </c>
      <c r="D25" s="18">
        <v>7714758</v>
      </c>
      <c r="F25" s="14"/>
      <c r="G25" s="13"/>
    </row>
    <row r="26" spans="1:7" x14ac:dyDescent="0.2">
      <c r="A26" s="14">
        <v>8</v>
      </c>
      <c r="B26" s="13" t="s">
        <v>143</v>
      </c>
      <c r="C26" s="13" t="s">
        <v>144</v>
      </c>
      <c r="D26" s="18">
        <v>7010321</v>
      </c>
      <c r="F26" s="14"/>
      <c r="G26" s="13"/>
    </row>
    <row r="27" spans="1:7" x14ac:dyDescent="0.2">
      <c r="A27" s="14">
        <v>9</v>
      </c>
      <c r="B27" s="13" t="s">
        <v>167</v>
      </c>
      <c r="C27" s="13" t="s">
        <v>168</v>
      </c>
      <c r="D27" s="18">
        <v>6856215</v>
      </c>
      <c r="F27" s="14"/>
      <c r="G27" s="13"/>
    </row>
    <row r="28" spans="1:7" x14ac:dyDescent="0.2">
      <c r="A28" s="14">
        <v>10</v>
      </c>
      <c r="B28" s="13" t="s">
        <v>169</v>
      </c>
      <c r="C28" s="13" t="s">
        <v>170</v>
      </c>
      <c r="D28" s="18">
        <v>6727796</v>
      </c>
    </row>
    <row r="30" spans="1:7" x14ac:dyDescent="0.2">
      <c r="A30" s="24" t="s">
        <v>171</v>
      </c>
      <c r="B30" s="23"/>
      <c r="C30" s="23"/>
      <c r="D30" s="13"/>
      <c r="F30" s="25"/>
      <c r="G30" s="23"/>
    </row>
    <row r="31" spans="1:7" x14ac:dyDescent="0.2">
      <c r="A31" s="14"/>
      <c r="B31" s="13"/>
      <c r="C31" s="13"/>
      <c r="D31" s="13"/>
      <c r="F31" s="20"/>
      <c r="G31" s="13"/>
    </row>
    <row r="32" spans="1:7" x14ac:dyDescent="0.2">
      <c r="A32" s="15" t="s">
        <v>11</v>
      </c>
      <c r="B32" s="12" t="s">
        <v>12</v>
      </c>
      <c r="C32" s="12" t="s">
        <v>38</v>
      </c>
      <c r="D32" s="12" t="s">
        <v>13</v>
      </c>
      <c r="F32" s="12"/>
      <c r="G32" s="12"/>
    </row>
    <row r="33" spans="1:7" x14ac:dyDescent="0.2">
      <c r="A33" s="14">
        <v>1</v>
      </c>
      <c r="B33" s="13" t="s">
        <v>172</v>
      </c>
      <c r="C33" s="13" t="s">
        <v>173</v>
      </c>
      <c r="D33" s="18">
        <v>2869842</v>
      </c>
      <c r="F33" s="14"/>
      <c r="G33" s="13"/>
    </row>
    <row r="34" spans="1:7" x14ac:dyDescent="0.2">
      <c r="A34" s="14">
        <v>2</v>
      </c>
      <c r="B34" s="13" t="s">
        <v>174</v>
      </c>
      <c r="C34" s="13" t="s">
        <v>175</v>
      </c>
      <c r="D34" s="18">
        <v>2719183</v>
      </c>
      <c r="F34" s="14"/>
      <c r="G34" s="13"/>
    </row>
    <row r="35" spans="1:7" x14ac:dyDescent="0.2">
      <c r="A35" s="14">
        <v>3</v>
      </c>
      <c r="B35" s="13" t="s">
        <v>176</v>
      </c>
      <c r="C35" s="13" t="s">
        <v>177</v>
      </c>
      <c r="D35" s="18">
        <v>2565512</v>
      </c>
      <c r="F35" s="14"/>
      <c r="G35" s="13"/>
    </row>
    <row r="36" spans="1:7" x14ac:dyDescent="0.2">
      <c r="A36" s="14">
        <v>4</v>
      </c>
      <c r="B36" s="13" t="s">
        <v>178</v>
      </c>
      <c r="C36" s="13" t="s">
        <v>179</v>
      </c>
      <c r="D36" s="18">
        <v>2434847</v>
      </c>
      <c r="F36" s="14"/>
      <c r="G36" s="13"/>
    </row>
    <row r="37" spans="1:7" x14ac:dyDescent="0.2">
      <c r="A37" s="14">
        <v>5</v>
      </c>
      <c r="B37" s="13" t="s">
        <v>180</v>
      </c>
      <c r="C37" s="13" t="s">
        <v>181</v>
      </c>
      <c r="D37" s="18">
        <v>2385900</v>
      </c>
      <c r="F37" s="14"/>
      <c r="G37" s="13"/>
    </row>
    <row r="38" spans="1:7" x14ac:dyDescent="0.2">
      <c r="A38" s="14">
        <v>6</v>
      </c>
      <c r="B38" s="13" t="s">
        <v>182</v>
      </c>
      <c r="C38" s="13" t="s">
        <v>183</v>
      </c>
      <c r="D38" s="18">
        <v>2378103</v>
      </c>
      <c r="F38" s="14"/>
      <c r="G38" s="13"/>
    </row>
    <row r="39" spans="1:7" x14ac:dyDescent="0.2">
      <c r="A39" s="14">
        <v>7</v>
      </c>
      <c r="B39" s="13" t="s">
        <v>184</v>
      </c>
      <c r="C39" s="13" t="s">
        <v>185</v>
      </c>
      <c r="D39" s="18">
        <v>2358635</v>
      </c>
      <c r="F39" s="14"/>
      <c r="G39" s="13"/>
    </row>
    <row r="40" spans="1:7" x14ac:dyDescent="0.2">
      <c r="A40" s="14">
        <v>8</v>
      </c>
      <c r="B40" s="13" t="s">
        <v>186</v>
      </c>
      <c r="C40" s="13" t="s">
        <v>187</v>
      </c>
      <c r="D40" s="18">
        <v>2326509</v>
      </c>
      <c r="F40" s="14"/>
      <c r="G40" s="13"/>
    </row>
    <row r="41" spans="1:7" x14ac:dyDescent="0.2">
      <c r="A41" s="14">
        <v>9</v>
      </c>
      <c r="B41" s="13" t="s">
        <v>188</v>
      </c>
      <c r="C41" s="13" t="s">
        <v>189</v>
      </c>
      <c r="D41" s="18">
        <v>2167149</v>
      </c>
      <c r="F41" s="14"/>
      <c r="G41" s="13"/>
    </row>
    <row r="42" spans="1:7" x14ac:dyDescent="0.2">
      <c r="A42" s="14">
        <v>10</v>
      </c>
      <c r="B42" s="13" t="s">
        <v>190</v>
      </c>
      <c r="C42" s="13" t="s">
        <v>191</v>
      </c>
      <c r="D42" s="18">
        <v>2137318</v>
      </c>
      <c r="F42" s="14"/>
      <c r="G42" s="13"/>
    </row>
    <row r="44" spans="1:7" x14ac:dyDescent="0.2">
      <c r="A44" s="24" t="s">
        <v>192</v>
      </c>
      <c r="B44" s="23"/>
      <c r="C44" s="23"/>
      <c r="D44" s="13"/>
    </row>
    <row r="45" spans="1:7" x14ac:dyDescent="0.2">
      <c r="A45" s="14"/>
      <c r="B45" s="13"/>
      <c r="C45" s="13"/>
      <c r="D45" s="13"/>
    </row>
    <row r="46" spans="1:7" x14ac:dyDescent="0.2">
      <c r="A46" s="15" t="s">
        <v>11</v>
      </c>
      <c r="B46" s="12" t="s">
        <v>12</v>
      </c>
      <c r="C46" s="12" t="s">
        <v>38</v>
      </c>
      <c r="D46" s="12" t="s">
        <v>13</v>
      </c>
    </row>
    <row r="47" spans="1:7" x14ac:dyDescent="0.2">
      <c r="A47" s="14">
        <v>1</v>
      </c>
      <c r="B47" s="13" t="s">
        <v>193</v>
      </c>
      <c r="C47" s="13" t="s">
        <v>194</v>
      </c>
      <c r="D47" s="18">
        <v>6664812</v>
      </c>
    </row>
    <row r="48" spans="1:7" x14ac:dyDescent="0.2">
      <c r="A48" s="14">
        <v>2</v>
      </c>
      <c r="B48" s="13" t="s">
        <v>195</v>
      </c>
      <c r="C48" s="13" t="s">
        <v>196</v>
      </c>
      <c r="D48" s="18">
        <v>5682286</v>
      </c>
    </row>
    <row r="49" spans="1:4" x14ac:dyDescent="0.2">
      <c r="A49" s="14">
        <v>3</v>
      </c>
      <c r="B49" s="13" t="s">
        <v>197</v>
      </c>
      <c r="C49" s="13" t="s">
        <v>198</v>
      </c>
      <c r="D49" s="18">
        <v>4817733</v>
      </c>
    </row>
    <row r="50" spans="1:4" x14ac:dyDescent="0.2">
      <c r="A50" s="14">
        <v>4</v>
      </c>
      <c r="B50" s="13" t="s">
        <v>199</v>
      </c>
      <c r="C50" s="13" t="s">
        <v>200</v>
      </c>
      <c r="D50" s="18">
        <v>4733138</v>
      </c>
    </row>
    <row r="51" spans="1:4" x14ac:dyDescent="0.2">
      <c r="A51" s="14">
        <v>5</v>
      </c>
      <c r="B51" s="13" t="s">
        <v>201</v>
      </c>
      <c r="C51" s="13" t="s">
        <v>202</v>
      </c>
      <c r="D51" s="18">
        <v>4507760</v>
      </c>
    </row>
    <row r="52" spans="1:4" x14ac:dyDescent="0.2">
      <c r="A52" s="14">
        <v>6</v>
      </c>
      <c r="B52" s="13" t="s">
        <v>203</v>
      </c>
      <c r="C52" s="13" t="s">
        <v>204</v>
      </c>
      <c r="D52" s="18">
        <v>3982607</v>
      </c>
    </row>
    <row r="53" spans="1:4" x14ac:dyDescent="0.2">
      <c r="A53" s="14">
        <v>7</v>
      </c>
      <c r="B53" s="13" t="s">
        <v>205</v>
      </c>
      <c r="C53" s="13" t="s">
        <v>206</v>
      </c>
      <c r="D53" s="18">
        <v>3567600</v>
      </c>
    </row>
    <row r="54" spans="1:4" x14ac:dyDescent="0.2">
      <c r="A54" s="14">
        <v>8</v>
      </c>
      <c r="B54" s="13" t="s">
        <v>207</v>
      </c>
      <c r="C54" s="13" t="s">
        <v>208</v>
      </c>
      <c r="D54" s="18">
        <v>3299803</v>
      </c>
    </row>
    <row r="55" spans="1:4" x14ac:dyDescent="0.2">
      <c r="A55" s="14">
        <v>9</v>
      </c>
      <c r="B55" s="13" t="s">
        <v>209</v>
      </c>
      <c r="C55" s="13" t="s">
        <v>210</v>
      </c>
      <c r="D55" s="18">
        <v>3192152</v>
      </c>
    </row>
    <row r="56" spans="1:4" x14ac:dyDescent="0.2">
      <c r="A56" s="14">
        <v>10</v>
      </c>
      <c r="B56" s="13" t="s">
        <v>211</v>
      </c>
      <c r="C56" s="13" t="s">
        <v>212</v>
      </c>
      <c r="D56" s="18">
        <v>3112288</v>
      </c>
    </row>
    <row r="58" spans="1:4" x14ac:dyDescent="0.2">
      <c r="A58" s="24" t="s">
        <v>213</v>
      </c>
      <c r="B58" s="23"/>
      <c r="C58" s="23"/>
      <c r="D58" s="13"/>
    </row>
    <row r="59" spans="1:4" x14ac:dyDescent="0.2">
      <c r="A59" s="14"/>
      <c r="B59" s="13"/>
      <c r="C59" s="13"/>
      <c r="D59" s="13"/>
    </row>
    <row r="60" spans="1:4" x14ac:dyDescent="0.2">
      <c r="A60" s="15" t="s">
        <v>11</v>
      </c>
      <c r="B60" s="12" t="s">
        <v>12</v>
      </c>
      <c r="C60" s="12" t="s">
        <v>38</v>
      </c>
      <c r="D60" s="12" t="s">
        <v>13</v>
      </c>
    </row>
    <row r="61" spans="1:4" x14ac:dyDescent="0.2">
      <c r="A61" s="14">
        <v>1</v>
      </c>
      <c r="B61" s="13" t="s">
        <v>135</v>
      </c>
      <c r="C61" s="13" t="s">
        <v>136</v>
      </c>
      <c r="D61" s="18">
        <v>8700415</v>
      </c>
    </row>
    <row r="62" spans="1:4" x14ac:dyDescent="0.2">
      <c r="A62" s="14">
        <v>2</v>
      </c>
      <c r="B62" s="13" t="s">
        <v>214</v>
      </c>
      <c r="C62" s="13" t="s">
        <v>215</v>
      </c>
      <c r="D62" s="18">
        <v>2758558</v>
      </c>
    </row>
    <row r="63" spans="1:4" x14ac:dyDescent="0.2">
      <c r="A63" s="14">
        <v>3</v>
      </c>
      <c r="B63" s="13" t="s">
        <v>216</v>
      </c>
      <c r="C63" s="13" t="s">
        <v>217</v>
      </c>
      <c r="D63" s="18">
        <v>2615530</v>
      </c>
    </row>
    <row r="64" spans="1:4" x14ac:dyDescent="0.2">
      <c r="A64" s="14">
        <v>4</v>
      </c>
      <c r="B64" s="13" t="s">
        <v>218</v>
      </c>
      <c r="C64" s="13" t="s">
        <v>219</v>
      </c>
      <c r="D64" s="18">
        <v>2275336</v>
      </c>
    </row>
    <row r="65" spans="1:4" x14ac:dyDescent="0.2">
      <c r="A65" s="14">
        <v>5</v>
      </c>
      <c r="B65" s="13" t="s">
        <v>220</v>
      </c>
      <c r="C65" s="13" t="s">
        <v>221</v>
      </c>
      <c r="D65" s="18">
        <v>1979022</v>
      </c>
    </row>
    <row r="66" spans="1:4" x14ac:dyDescent="0.2">
      <c r="A66" s="14">
        <v>6</v>
      </c>
      <c r="B66" s="13" t="s">
        <v>222</v>
      </c>
      <c r="C66" s="13" t="s">
        <v>223</v>
      </c>
      <c r="D66" s="18">
        <v>1954472</v>
      </c>
    </row>
    <row r="67" spans="1:4" x14ac:dyDescent="0.2">
      <c r="A67" s="14">
        <v>7</v>
      </c>
      <c r="B67" s="13" t="s">
        <v>224</v>
      </c>
      <c r="C67" s="13" t="s">
        <v>225</v>
      </c>
      <c r="D67" s="18">
        <v>1869704</v>
      </c>
    </row>
    <row r="68" spans="1:4" x14ac:dyDescent="0.2">
      <c r="A68" s="14">
        <v>8</v>
      </c>
      <c r="B68" s="13" t="s">
        <v>226</v>
      </c>
      <c r="C68" s="13" t="s">
        <v>227</v>
      </c>
      <c r="D68" s="18">
        <v>1389748</v>
      </c>
    </row>
    <row r="69" spans="1:4" x14ac:dyDescent="0.2">
      <c r="A69" s="14">
        <v>9</v>
      </c>
      <c r="B69" s="13" t="s">
        <v>228</v>
      </c>
      <c r="C69" s="13" t="s">
        <v>229</v>
      </c>
      <c r="D69" s="18">
        <v>1232290</v>
      </c>
    </row>
    <row r="70" spans="1:4" x14ac:dyDescent="0.2">
      <c r="A70" s="14">
        <v>10</v>
      </c>
      <c r="B70" s="13" t="s">
        <v>230</v>
      </c>
      <c r="C70" s="13" t="s">
        <v>231</v>
      </c>
      <c r="D70" s="18">
        <v>1179616</v>
      </c>
    </row>
    <row r="72" spans="1:4" x14ac:dyDescent="0.2">
      <c r="A72" s="24" t="s">
        <v>232</v>
      </c>
      <c r="B72" s="23"/>
      <c r="C72" s="23"/>
      <c r="D72" s="13"/>
    </row>
    <row r="73" spans="1:4" x14ac:dyDescent="0.2">
      <c r="A73" s="14"/>
      <c r="B73" s="13"/>
      <c r="C73" s="13"/>
      <c r="D73" s="13"/>
    </row>
    <row r="74" spans="1:4" x14ac:dyDescent="0.2">
      <c r="A74" s="15" t="s">
        <v>11</v>
      </c>
      <c r="B74" s="12" t="s">
        <v>12</v>
      </c>
      <c r="C74" s="12" t="s">
        <v>38</v>
      </c>
      <c r="D74" s="12" t="s">
        <v>13</v>
      </c>
    </row>
    <row r="75" spans="1:4" x14ac:dyDescent="0.2">
      <c r="A75" s="14">
        <v>1</v>
      </c>
      <c r="B75" s="13" t="s">
        <v>233</v>
      </c>
      <c r="C75" s="13" t="s">
        <v>234</v>
      </c>
      <c r="D75" s="18">
        <v>3498835</v>
      </c>
    </row>
    <row r="76" spans="1:4" x14ac:dyDescent="0.2">
      <c r="A76" s="14">
        <v>2</v>
      </c>
      <c r="B76" s="13" t="s">
        <v>235</v>
      </c>
      <c r="C76" s="13" t="s">
        <v>236</v>
      </c>
      <c r="D76" s="18">
        <v>3474713</v>
      </c>
    </row>
    <row r="77" spans="1:4" x14ac:dyDescent="0.2">
      <c r="A77" s="14">
        <v>3</v>
      </c>
      <c r="B77" s="13" t="s">
        <v>237</v>
      </c>
      <c r="C77" s="13" t="s">
        <v>238</v>
      </c>
      <c r="D77" s="18">
        <v>3369790</v>
      </c>
    </row>
    <row r="78" spans="1:4" x14ac:dyDescent="0.2">
      <c r="A78" s="14">
        <v>4</v>
      </c>
      <c r="B78" s="13" t="s">
        <v>239</v>
      </c>
      <c r="C78" s="13" t="s">
        <v>240</v>
      </c>
      <c r="D78" s="18">
        <v>3354849</v>
      </c>
    </row>
    <row r="79" spans="1:4" x14ac:dyDescent="0.2">
      <c r="A79" s="14">
        <v>5</v>
      </c>
      <c r="B79" s="13" t="s">
        <v>241</v>
      </c>
      <c r="C79" s="13" t="s">
        <v>242</v>
      </c>
      <c r="D79" s="18">
        <v>3214473</v>
      </c>
    </row>
    <row r="80" spans="1:4" x14ac:dyDescent="0.2">
      <c r="A80" s="14">
        <v>6</v>
      </c>
      <c r="B80" s="13" t="s">
        <v>243</v>
      </c>
      <c r="C80" s="13" t="s">
        <v>244</v>
      </c>
      <c r="D80" s="18">
        <v>3158918</v>
      </c>
    </row>
    <row r="81" spans="1:4" x14ac:dyDescent="0.2">
      <c r="A81" s="14">
        <v>7</v>
      </c>
      <c r="B81" s="13" t="s">
        <v>245</v>
      </c>
      <c r="C81" s="13" t="s">
        <v>246</v>
      </c>
      <c r="D81" s="18">
        <v>3158654</v>
      </c>
    </row>
    <row r="82" spans="1:4" x14ac:dyDescent="0.2">
      <c r="A82" s="14">
        <v>8</v>
      </c>
      <c r="B82" s="13" t="s">
        <v>247</v>
      </c>
      <c r="C82" s="13" t="s">
        <v>248</v>
      </c>
      <c r="D82" s="18">
        <v>3118179</v>
      </c>
    </row>
    <row r="83" spans="1:4" x14ac:dyDescent="0.2">
      <c r="A83" s="14">
        <v>9</v>
      </c>
      <c r="B83" s="13" t="s">
        <v>249</v>
      </c>
      <c r="C83" s="13" t="s">
        <v>250</v>
      </c>
      <c r="D83" s="18">
        <v>2998172</v>
      </c>
    </row>
    <row r="84" spans="1:4" x14ac:dyDescent="0.2">
      <c r="A84" s="14">
        <v>10</v>
      </c>
      <c r="B84" s="13" t="s">
        <v>251</v>
      </c>
      <c r="C84" s="13" t="s">
        <v>252</v>
      </c>
      <c r="D84" s="18">
        <v>2960192</v>
      </c>
    </row>
  </sheetData>
  <mergeCells count="8">
    <mergeCell ref="A44:C44"/>
    <mergeCell ref="A58:C58"/>
    <mergeCell ref="A72:C72"/>
    <mergeCell ref="F1:G1"/>
    <mergeCell ref="F15:G15"/>
    <mergeCell ref="A16:B16"/>
    <mergeCell ref="A30:C30"/>
    <mergeCell ref="F30:G30"/>
  </mergeCells>
  <hyperlinks>
    <hyperlink ref="H8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Intro and contact details</vt:lpstr>
      <vt:lpstr>Global International Routes</vt:lpstr>
      <vt:lpstr> International Routes by Region</vt:lpstr>
      <vt:lpstr>Feuil1</vt:lpstr>
      <vt:lpstr>Global Domestic Routes</vt:lpstr>
      <vt:lpstr>Domestic Routes 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AKPONA</cp:lastModifiedBy>
  <dcterms:modified xsi:type="dcterms:W3CDTF">2025-06-20T06:30:15Z</dcterms:modified>
</cp:coreProperties>
</file>